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1.xml" ContentType="application/vnd.openxmlformats-officedocument.spreadsheetml.pivotTab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4.xml" ContentType="application/vnd.openxmlformats-officedocument.drawingml.chartshape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toronto-my.sharepoint.com/personal/anna_bojagora_mail_utoronto_ca/Documents/datasci/Final Assignment/Excel/"/>
    </mc:Choice>
  </mc:AlternateContent>
  <xr:revisionPtr revIDLastSave="393" documentId="8_{6773A3DE-831C-5249-9F49-846EC9324F3E}" xr6:coauthVersionLast="47" xr6:coauthVersionMax="47" xr10:uidLastSave="{A40F6CD3-D918-B747-AF9C-5D4570F6A3AC}"/>
  <bookViews>
    <workbookView xWindow="-240" yWindow="500" windowWidth="26880" windowHeight="26700" activeTab="2" xr2:uid="{C8E23811-00C8-674C-A601-97CA77C4B00C}"/>
  </bookViews>
  <sheets>
    <sheet name="ID_data_original" sheetId="3" r:id="rId1"/>
    <sheet name="ID_data" sheetId="1" r:id="rId2"/>
    <sheet name="Visualization" sheetId="2" r:id="rId3"/>
  </sheets>
  <calcPr calcId="191029" concurrentCalc="0"/>
  <pivotCaches>
    <pivotCache cacheId="22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75" i="3" l="1"/>
  <c r="T68" i="3"/>
  <c r="T65" i="3"/>
  <c r="T54" i="3"/>
  <c r="T46" i="3"/>
  <c r="T32" i="3"/>
  <c r="T14" i="3"/>
  <c r="T57" i="1"/>
  <c r="T52" i="1"/>
  <c r="T46" i="1"/>
  <c r="T28" i="1"/>
  <c r="T13" i="1"/>
</calcChain>
</file>

<file path=xl/sharedStrings.xml><?xml version="1.0" encoding="utf-8"?>
<sst xmlns="http://schemas.openxmlformats.org/spreadsheetml/2006/main" count="466" uniqueCount="130">
  <si>
    <t>Disease</t>
  </si>
  <si>
    <t>2024 YTD Cases</t>
  </si>
  <si>
    <r>
      <t>2024 YTD Rate</t>
    </r>
    <r>
      <rPr>
        <b/>
        <vertAlign val="superscript"/>
        <sz val="10"/>
        <rFont val="Arial"/>
        <family val="2"/>
      </rPr>
      <t>1</t>
    </r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</si>
  <si>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</si>
  <si>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</si>
  <si>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</si>
  <si>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</si>
  <si>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</si>
  <si>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</si>
  <si>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</si>
  <si>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</si>
  <si>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</si>
  <si>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</si>
  <si>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</si>
  <si>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</si>
  <si>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r>
      <t>December 3 yr. Average</t>
    </r>
    <r>
      <rPr>
        <b/>
        <vertAlign val="superscript"/>
        <sz val="10"/>
        <rFont val="Arial"/>
        <family val="2"/>
      </rPr>
      <t>2</t>
    </r>
  </si>
  <si>
    <t>Sexually Transmitted and Bloodborne</t>
  </si>
  <si>
    <t>AIDS</t>
  </si>
  <si>
    <r>
      <t>HIV</t>
    </r>
    <r>
      <rPr>
        <sz val="10"/>
        <rFont val="Arial"/>
        <family val="2"/>
      </rPr>
      <t xml:space="preserve"> </t>
    </r>
  </si>
  <si>
    <t>Chlamydia</t>
  </si>
  <si>
    <t>Chancroid</t>
  </si>
  <si>
    <t>Gonorrhea</t>
  </si>
  <si>
    <t>Hepatitis B - cases</t>
  </si>
  <si>
    <t>Hepatitis B - carriers</t>
  </si>
  <si>
    <r>
      <t>Hepatitis B - unclassified</t>
    </r>
    <r>
      <rPr>
        <vertAlign val="superscript"/>
        <sz val="10"/>
        <rFont val="Arial"/>
        <family val="2"/>
      </rPr>
      <t>4</t>
    </r>
  </si>
  <si>
    <t>Hepatitis C</t>
  </si>
  <si>
    <t>Ophthalmia neonatorum</t>
  </si>
  <si>
    <t>&lt;0.1</t>
  </si>
  <si>
    <t>Syphilis, early congenital</t>
  </si>
  <si>
    <t>Syphilis, infectious</t>
  </si>
  <si>
    <r>
      <t>Syphilis, other</t>
    </r>
    <r>
      <rPr>
        <vertAlign val="superscript"/>
        <sz val="10"/>
        <rFont val="Arial"/>
        <family val="2"/>
      </rPr>
      <t>5</t>
    </r>
  </si>
  <si>
    <t>Enteric, Food and Waterborne</t>
  </si>
  <si>
    <t>Amebiasis</t>
  </si>
  <si>
    <t>Botulism</t>
  </si>
  <si>
    <t>Campylobacter enteritis</t>
  </si>
  <si>
    <t>Cholera</t>
  </si>
  <si>
    <t>Cryptosporidiosis</t>
  </si>
  <si>
    <t>Cyclosporiasis</t>
  </si>
  <si>
    <t>Food poisoning</t>
  </si>
  <si>
    <t>Giardiasis</t>
  </si>
  <si>
    <t>Hepatitis A</t>
  </si>
  <si>
    <t>Listeriosis</t>
  </si>
  <si>
    <t>Paralytic shellfish poisoning</t>
  </si>
  <si>
    <t>Paratyphoid fever</t>
  </si>
  <si>
    <t>Salmonellosis</t>
  </si>
  <si>
    <t>Shigellosis</t>
  </si>
  <si>
    <t>Trichinosis</t>
  </si>
  <si>
    <t>Typhoid fever</t>
  </si>
  <si>
    <t>Verotoxin-producing E. coli infection</t>
  </si>
  <si>
    <t>Yersiniosis</t>
  </si>
  <si>
    <t xml:space="preserve">Vaccine Preventable </t>
  </si>
  <si>
    <t>Acute flaccid paralysis</t>
  </si>
  <si>
    <t>Adverse vaccine reactions</t>
  </si>
  <si>
    <t>Chickenpox</t>
  </si>
  <si>
    <r>
      <t>COVID-19</t>
    </r>
    <r>
      <rPr>
        <vertAlign val="superscript"/>
        <sz val="10"/>
        <rFont val="Arial"/>
        <family val="2"/>
      </rPr>
      <t>6</t>
    </r>
  </si>
  <si>
    <t>Diphtheria</t>
  </si>
  <si>
    <r>
      <t xml:space="preserve">Haemophilus influenzae, </t>
    </r>
    <r>
      <rPr>
        <sz val="10"/>
        <rFont val="Arial"/>
        <family val="2"/>
      </rPr>
      <t>invasive</t>
    </r>
  </si>
  <si>
    <t>Influenza</t>
  </si>
  <si>
    <t>Measles</t>
  </si>
  <si>
    <r>
      <t>Mpox</t>
    </r>
    <r>
      <rPr>
        <vertAlign val="superscript"/>
        <sz val="10"/>
        <rFont val="Arial"/>
        <family val="2"/>
      </rPr>
      <t>7</t>
    </r>
  </si>
  <si>
    <t>NA</t>
  </si>
  <si>
    <t>Mumps</t>
  </si>
  <si>
    <t>Pertussis</t>
  </si>
  <si>
    <t>&lt;1</t>
  </si>
  <si>
    <t>Rubella</t>
  </si>
  <si>
    <t>Rubella, congenital syndrome</t>
  </si>
  <si>
    <t>Tetanus</t>
  </si>
  <si>
    <t>Direct Contact and Respiratory</t>
  </si>
  <si>
    <t>Legionellosis</t>
  </si>
  <si>
    <t>Leprosy</t>
  </si>
  <si>
    <t>Meningococcal disease, invasive</t>
  </si>
  <si>
    <t>Group A Streptococcal disease, invasive</t>
  </si>
  <si>
    <t>Group B Streptococcal disease, neonatal</t>
  </si>
  <si>
    <t>Pneumococcal disease, invasive</t>
  </si>
  <si>
    <t>TB: Atypical mycobacterial infections</t>
  </si>
  <si>
    <r>
      <t>Tuberculosis</t>
    </r>
    <r>
      <rPr>
        <vertAlign val="superscript"/>
        <sz val="10"/>
        <rFont val="Arial"/>
        <family val="2"/>
      </rPr>
      <t>8</t>
    </r>
  </si>
  <si>
    <t>Vectorborne and Zoonotics</t>
  </si>
  <si>
    <r>
      <t>Anaplasmosis</t>
    </r>
    <r>
      <rPr>
        <vertAlign val="superscript"/>
        <sz val="10"/>
        <rFont val="Arial"/>
        <family val="2"/>
      </rPr>
      <t>9</t>
    </r>
  </si>
  <si>
    <r>
      <t>Babesiosis</t>
    </r>
    <r>
      <rPr>
        <vertAlign val="superscript"/>
        <sz val="10"/>
        <rFont val="Arial"/>
        <family val="2"/>
      </rPr>
      <t>9</t>
    </r>
  </si>
  <si>
    <t>Brucellosis</t>
  </si>
  <si>
    <r>
      <rPr>
        <i/>
        <sz val="10"/>
        <rFont val="Arial"/>
        <family val="2"/>
      </rPr>
      <t>Echinococcus multilocularis</t>
    </r>
    <r>
      <rPr>
        <sz val="10"/>
        <rFont val="Arial"/>
        <family val="2"/>
      </rPr>
      <t xml:space="preserve"> infection</t>
    </r>
  </si>
  <si>
    <t>Hemorrhagic fevers</t>
  </si>
  <si>
    <t>Lyme disease</t>
  </si>
  <si>
    <r>
      <t>Powassan virus</t>
    </r>
    <r>
      <rPr>
        <vertAlign val="superscript"/>
        <sz val="10"/>
        <rFont val="Arial"/>
        <family val="2"/>
      </rPr>
      <t>9</t>
    </r>
  </si>
  <si>
    <t>Q fever</t>
  </si>
  <si>
    <t>Rabies</t>
  </si>
  <si>
    <t>Tularemia</t>
  </si>
  <si>
    <t>West Nile Virus</t>
  </si>
  <si>
    <t>Other</t>
  </si>
  <si>
    <t>Blastomycosis</t>
  </si>
  <si>
    <r>
      <t>Carbapenamase-producing Enterobacteriaceae</t>
    </r>
    <r>
      <rPr>
        <vertAlign val="superscript"/>
        <sz val="10"/>
        <rFont val="Arial"/>
        <family val="2"/>
      </rPr>
      <t>3</t>
    </r>
  </si>
  <si>
    <t>Transmissible spongiform encephalopathy: Creutzfeldt-Jakob disease</t>
  </si>
  <si>
    <t>Encephalitis/Meningitis</t>
  </si>
  <si>
    <r>
      <t>Encephalitis/Meningitis - bacterial</t>
    </r>
    <r>
      <rPr>
        <vertAlign val="superscript"/>
        <sz val="10"/>
        <rFont val="Arial"/>
        <family val="2"/>
      </rPr>
      <t>10</t>
    </r>
  </si>
  <si>
    <t>-</t>
  </si>
  <si>
    <r>
      <t>Encephalitis/Meningitis - viral</t>
    </r>
    <r>
      <rPr>
        <vertAlign val="superscript"/>
        <sz val="10"/>
        <rFont val="Arial"/>
        <family val="2"/>
      </rPr>
      <t>10</t>
    </r>
  </si>
  <si>
    <r>
      <t>Encephalitis/Meningitis - other</t>
    </r>
    <r>
      <rPr>
        <vertAlign val="superscript"/>
        <sz val="10"/>
        <rFont val="Arial"/>
        <family val="2"/>
      </rPr>
      <t>10</t>
    </r>
  </si>
  <si>
    <r>
      <t>Encephalitis/Meningitis - unknown</t>
    </r>
    <r>
      <rPr>
        <vertAlign val="superscript"/>
        <sz val="10"/>
        <rFont val="Arial"/>
        <family val="2"/>
      </rPr>
      <t>10</t>
    </r>
  </si>
  <si>
    <t>Outbreaks</t>
  </si>
  <si>
    <r>
      <t>Gastroenteritis</t>
    </r>
    <r>
      <rPr>
        <vertAlign val="superscript"/>
        <sz val="10"/>
        <rFont val="Arial"/>
        <family val="2"/>
      </rPr>
      <t>11</t>
    </r>
  </si>
  <si>
    <r>
      <t>Respiratory Infection</t>
    </r>
    <r>
      <rPr>
        <vertAlign val="superscript"/>
        <sz val="10"/>
        <rFont val="Arial"/>
        <family val="2"/>
      </rPr>
      <t>11</t>
    </r>
  </si>
  <si>
    <r>
      <t>Other</t>
    </r>
    <r>
      <rPr>
        <vertAlign val="superscript"/>
        <sz val="10"/>
        <rFont val="Arial"/>
        <family val="2"/>
      </rPr>
      <t>11</t>
    </r>
  </si>
  <si>
    <t xml:space="preserve"> </t>
  </si>
  <si>
    <t>Type of Disease</t>
  </si>
  <si>
    <t>Cases SUM 2024 YTD</t>
  </si>
  <si>
    <t>Row Labels</t>
  </si>
  <si>
    <t>Haemophilus influenzae, invasive</t>
  </si>
  <si>
    <t xml:space="preserve">HIV </t>
  </si>
  <si>
    <t>Grand Total</t>
  </si>
  <si>
    <t>Sum of January</t>
  </si>
  <si>
    <t>Sum of February</t>
  </si>
  <si>
    <t>Sum of March</t>
  </si>
  <si>
    <t>Sum of April</t>
  </si>
  <si>
    <t>Sum of May</t>
  </si>
  <si>
    <t>Sum of June</t>
  </si>
  <si>
    <t>Sum of July</t>
  </si>
  <si>
    <t>Sum of August</t>
  </si>
  <si>
    <t>Sum of September</t>
  </si>
  <si>
    <t>Sum of October</t>
  </si>
  <si>
    <t>Sum of November</t>
  </si>
  <si>
    <t>Sum of December</t>
  </si>
  <si>
    <t>Gastroenteritis</t>
  </si>
  <si>
    <t>Respiratory Infection</t>
  </si>
  <si>
    <t>Carbapenamase-producing Enterobacteriaceae</t>
  </si>
  <si>
    <t>Anaplasmosis</t>
  </si>
  <si>
    <t>Tuberculosis</t>
  </si>
  <si>
    <t>Mpox</t>
  </si>
  <si>
    <t>Hepatitis B - unclassified</t>
  </si>
  <si>
    <t>Syphilis, other</t>
  </si>
  <si>
    <t>COVID-19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</si>
</sst>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,##0.0"/>
  </numFmts>
  <fonts count="25">
    <font>
      <sz val="12"/>
      <color theme="1"/>
      <name val="Aptos Narrow"/>
      <family val="2"/>
      <scheme val="minor"/>
    </font>
    <font>
      <b/>
      <sz val="10"/>
      <name val="Arial"/>
      <family val="2"/>
    </font>
    <font>
      <b/>
      <vertAlign val="superscript"/>
      <sz val="10"/>
      <name val="Arial"/>
      <family val="2"/>
    </font>
    <font>
      <sz val="12"/>
      <color indexed="18"/>
      <name val="Arial"/>
      <family val="2"/>
    </font>
    <font>
      <sz val="10"/>
      <name val="Arial"/>
      <family val="2"/>
    </font>
    <font>
      <b/>
      <sz val="10"/>
      <color indexed="8"/>
      <name val="Arial"/>
      <family val="2"/>
    </font>
    <font>
      <sz val="9"/>
      <name val="Arial"/>
      <family val="2"/>
    </font>
    <font>
      <b/>
      <sz val="12"/>
      <color indexed="18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vertAlign val="superscript"/>
      <sz val="10"/>
      <name val="Arial"/>
      <family val="2"/>
    </font>
    <font>
      <i/>
      <sz val="10"/>
      <name val="Arial"/>
      <family val="2"/>
    </font>
    <font>
      <b/>
      <sz val="18"/>
      <color rgb="FFFF0000"/>
      <name val="Arial"/>
      <family val="2"/>
    </font>
    <font>
      <sz val="6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vertAlign val="superscript"/>
      <sz val="8"/>
      <name val="Arial"/>
      <family val="2"/>
    </font>
    <font>
      <i/>
      <vertAlign val="superscript"/>
      <sz val="8"/>
      <name val="Arial"/>
      <family val="2"/>
    </font>
    <font>
      <i/>
      <vertAlign val="superscript"/>
      <sz val="12"/>
      <name val="Arial"/>
      <family val="2"/>
    </font>
    <font>
      <b/>
      <i/>
      <vertAlign val="superscript"/>
      <sz val="8"/>
      <name val="Arial"/>
      <family val="2"/>
    </font>
    <font>
      <sz val="8"/>
      <color indexed="8"/>
      <name val="Arial"/>
      <family val="2"/>
    </font>
    <font>
      <i/>
      <sz val="8"/>
      <name val="Arial"/>
      <family val="2"/>
    </font>
    <font>
      <b/>
      <i/>
      <sz val="8"/>
      <name val="Arial"/>
      <family val="2"/>
    </font>
    <font>
      <sz val="8"/>
      <color indexed="63"/>
      <name val="Arial"/>
      <family val="2"/>
    </font>
    <font>
      <b/>
      <sz val="12"/>
      <color theme="1"/>
      <name val="Aptos Narrow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74">
    <border>
      <left/>
      <right/>
      <top/>
      <bottom/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tted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55"/>
      </bottom>
      <diagonal/>
    </border>
    <border>
      <left style="double">
        <color indexed="64"/>
      </left>
      <right/>
      <top style="medium">
        <color indexed="64"/>
      </top>
      <bottom/>
      <diagonal/>
    </border>
    <border>
      <left/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double">
        <color indexed="64"/>
      </right>
      <top style="medium">
        <color indexed="64"/>
      </top>
      <bottom/>
      <diagonal/>
    </border>
    <border>
      <left style="medium">
        <color indexed="64"/>
      </left>
      <right style="double">
        <color indexed="64"/>
      </right>
      <top style="thin">
        <color indexed="55"/>
      </top>
      <bottom style="thin">
        <color indexed="55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theme="1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8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55"/>
      </top>
      <bottom/>
      <diagonal/>
    </border>
    <border>
      <left style="double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double">
        <color indexed="64"/>
      </right>
      <top/>
      <bottom style="medium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55"/>
      </bottom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hair">
        <color indexed="64"/>
      </right>
      <top style="medium">
        <color indexed="64"/>
      </top>
      <bottom/>
      <diagonal/>
    </border>
    <border>
      <left style="medium">
        <color indexed="64"/>
      </left>
      <right style="double">
        <color indexed="64"/>
      </right>
      <top style="thin">
        <color indexed="55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55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double">
        <color indexed="64"/>
      </right>
      <top/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 style="double">
        <color indexed="64"/>
      </right>
      <top style="hair">
        <color indexed="64"/>
      </top>
      <bottom style="thin">
        <color indexed="55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double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8"/>
      </left>
      <right/>
      <top/>
      <bottom style="medium">
        <color indexed="64"/>
      </bottom>
      <diagonal/>
    </border>
    <border>
      <left style="thin">
        <color indexed="8"/>
      </left>
      <right/>
      <top/>
      <bottom/>
      <diagonal/>
    </border>
    <border>
      <left style="hair">
        <color indexed="64"/>
      </left>
      <right style="double">
        <color indexed="64"/>
      </right>
      <top style="hair">
        <color indexed="64"/>
      </top>
      <bottom/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26">
    <xf numFmtId="0" fontId="0" fillId="0" borderId="0" xfId="0"/>
    <xf numFmtId="0" fontId="0" fillId="0" borderId="0" xfId="0" applyAlignment="1">
      <alignment horizontal="center" vertical="center" wrapText="1"/>
    </xf>
    <xf numFmtId="2" fontId="3" fillId="3" borderId="0" xfId="0" applyNumberFormat="1" applyFont="1" applyFill="1" applyAlignment="1">
      <alignment vertical="top" wrapText="1"/>
    </xf>
    <xf numFmtId="0" fontId="1" fillId="2" borderId="8" xfId="0" applyFont="1" applyFill="1" applyBorder="1" applyAlignment="1">
      <alignment horizontal="left" vertical="center" wrapText="1"/>
    </xf>
    <xf numFmtId="0" fontId="4" fillId="0" borderId="9" xfId="0" applyFont="1" applyBorder="1" applyAlignment="1">
      <alignment horizontal="left" vertical="center" wrapText="1" indent="1"/>
    </xf>
    <xf numFmtId="3" fontId="5" fillId="0" borderId="10" xfId="0" applyNumberFormat="1" applyFont="1" applyBorder="1" applyAlignment="1">
      <alignment horizontal="right" vertical="center"/>
    </xf>
    <xf numFmtId="164" fontId="5" fillId="0" borderId="3" xfId="0" applyNumberFormat="1" applyFont="1" applyBorder="1" applyAlignment="1">
      <alignment horizontal="right" vertical="center"/>
    </xf>
    <xf numFmtId="3" fontId="4" fillId="0" borderId="11" xfId="0" applyNumberFormat="1" applyFont="1" applyBorder="1" applyAlignment="1">
      <alignment horizontal="right" vertical="center"/>
    </xf>
    <xf numFmtId="3" fontId="4" fillId="0" borderId="12" xfId="0" applyNumberFormat="1" applyFont="1" applyBorder="1" applyAlignment="1">
      <alignment horizontal="right" vertical="center"/>
    </xf>
    <xf numFmtId="3" fontId="4" fillId="0" borderId="13" xfId="0" applyNumberFormat="1" applyFont="1" applyBorder="1" applyAlignment="1">
      <alignment horizontal="right" vertical="center"/>
    </xf>
    <xf numFmtId="3" fontId="4" fillId="0" borderId="14" xfId="0" applyNumberFormat="1" applyFont="1" applyBorder="1" applyAlignment="1">
      <alignment horizontal="right" vertical="center"/>
    </xf>
    <xf numFmtId="3" fontId="4" fillId="0" borderId="15" xfId="0" applyNumberFormat="1" applyFont="1" applyBorder="1" applyAlignment="1">
      <alignment horizontal="right" vertical="center"/>
    </xf>
    <xf numFmtId="3" fontId="4" fillId="0" borderId="16" xfId="0" applyNumberFormat="1" applyFont="1" applyBorder="1" applyAlignment="1">
      <alignment horizontal="right" vertical="center"/>
    </xf>
    <xf numFmtId="3" fontId="1" fillId="0" borderId="17" xfId="0" applyNumberFormat="1" applyFont="1" applyBorder="1" applyAlignment="1">
      <alignment horizontal="right" vertical="center"/>
    </xf>
    <xf numFmtId="164" fontId="6" fillId="0" borderId="0" xfId="0" applyNumberFormat="1" applyFont="1" applyAlignment="1">
      <alignment vertical="center"/>
    </xf>
    <xf numFmtId="2" fontId="7" fillId="3" borderId="0" xfId="0" applyNumberFormat="1" applyFont="1" applyFill="1" applyAlignment="1">
      <alignment vertical="top" wrapText="1"/>
    </xf>
    <xf numFmtId="0" fontId="6" fillId="0" borderId="0" xfId="0" applyFont="1" applyAlignment="1">
      <alignment vertical="center"/>
    </xf>
    <xf numFmtId="0" fontId="4" fillId="4" borderId="18" xfId="0" applyFont="1" applyFill="1" applyBorder="1" applyAlignment="1">
      <alignment horizontal="left" vertical="center" wrapText="1" indent="1"/>
    </xf>
    <xf numFmtId="3" fontId="1" fillId="0" borderId="19" xfId="0" applyNumberFormat="1" applyFont="1" applyBorder="1" applyAlignment="1">
      <alignment horizontal="right" vertical="center" wrapText="1"/>
    </xf>
    <xf numFmtId="164" fontId="1" fillId="0" borderId="20" xfId="0" applyNumberFormat="1" applyFont="1" applyBorder="1" applyAlignment="1">
      <alignment horizontal="right" vertical="center" wrapText="1"/>
    </xf>
    <xf numFmtId="3" fontId="4" fillId="0" borderId="21" xfId="0" applyNumberFormat="1" applyFont="1" applyBorder="1" applyAlignment="1">
      <alignment horizontal="right" vertical="center" wrapText="1"/>
    </xf>
    <xf numFmtId="3" fontId="4" fillId="0" borderId="22" xfId="0" applyNumberFormat="1" applyFont="1" applyBorder="1" applyAlignment="1">
      <alignment horizontal="right" vertical="center" wrapText="1"/>
    </xf>
    <xf numFmtId="3" fontId="4" fillId="0" borderId="23" xfId="0" applyNumberFormat="1" applyFont="1" applyBorder="1" applyAlignment="1">
      <alignment horizontal="right" vertical="center" wrapText="1"/>
    </xf>
    <xf numFmtId="3" fontId="4" fillId="0" borderId="24" xfId="0" applyNumberFormat="1" applyFont="1" applyBorder="1" applyAlignment="1">
      <alignment horizontal="right" vertical="center" wrapText="1"/>
    </xf>
    <xf numFmtId="3" fontId="4" fillId="0" borderId="25" xfId="0" applyNumberFormat="1" applyFont="1" applyBorder="1" applyAlignment="1">
      <alignment horizontal="right" vertical="center" wrapText="1"/>
    </xf>
    <xf numFmtId="3" fontId="4" fillId="0" borderId="26" xfId="0" applyNumberFormat="1" applyFont="1" applyBorder="1" applyAlignment="1">
      <alignment horizontal="right" vertical="center" wrapText="1"/>
    </xf>
    <xf numFmtId="3" fontId="1" fillId="0" borderId="27" xfId="0" applyNumberFormat="1" applyFont="1" applyBorder="1" applyAlignment="1">
      <alignment horizontal="right" vertical="center" wrapText="1"/>
    </xf>
    <xf numFmtId="3" fontId="1" fillId="0" borderId="28" xfId="0" applyNumberFormat="1" applyFont="1" applyBorder="1" applyAlignment="1">
      <alignment horizontal="right" vertical="center" wrapText="1"/>
    </xf>
    <xf numFmtId="164" fontId="1" fillId="0" borderId="29" xfId="0" applyNumberFormat="1" applyFont="1" applyBorder="1" applyAlignment="1">
      <alignment horizontal="right" vertical="center"/>
    </xf>
    <xf numFmtId="3" fontId="1" fillId="0" borderId="30" xfId="0" applyNumberFormat="1" applyFont="1" applyBorder="1" applyAlignment="1">
      <alignment horizontal="right" vertical="center" wrapText="1"/>
    </xf>
    <xf numFmtId="0" fontId="4" fillId="0" borderId="18" xfId="0" applyFont="1" applyBorder="1" applyAlignment="1">
      <alignment horizontal="left" vertical="center" wrapText="1" indent="1"/>
    </xf>
    <xf numFmtId="0" fontId="4" fillId="3" borderId="18" xfId="0" applyFont="1" applyFill="1" applyBorder="1" applyAlignment="1">
      <alignment horizontal="left" vertical="center" wrapText="1" indent="1"/>
    </xf>
    <xf numFmtId="3" fontId="1" fillId="0" borderId="19" xfId="0" quotePrefix="1" applyNumberFormat="1" applyFont="1" applyBorder="1" applyAlignment="1">
      <alignment horizontal="right" vertical="center" wrapText="1"/>
    </xf>
    <xf numFmtId="164" fontId="1" fillId="0" borderId="20" xfId="0" quotePrefix="1" applyNumberFormat="1" applyFont="1" applyBorder="1" applyAlignment="1">
      <alignment horizontal="right" vertical="center" wrapText="1"/>
    </xf>
    <xf numFmtId="3" fontId="4" fillId="0" borderId="21" xfId="0" quotePrefix="1" applyNumberFormat="1" applyFont="1" applyBorder="1" applyAlignment="1">
      <alignment horizontal="right" vertical="center" wrapText="1"/>
    </xf>
    <xf numFmtId="3" fontId="4" fillId="0" borderId="22" xfId="0" quotePrefix="1" applyNumberFormat="1" applyFont="1" applyBorder="1" applyAlignment="1">
      <alignment horizontal="right" vertical="center" wrapText="1"/>
    </xf>
    <xf numFmtId="3" fontId="4" fillId="0" borderId="23" xfId="0" quotePrefix="1" applyNumberFormat="1" applyFont="1" applyBorder="1" applyAlignment="1">
      <alignment horizontal="right" vertical="center" wrapText="1"/>
    </xf>
    <xf numFmtId="3" fontId="4" fillId="0" borderId="24" xfId="0" quotePrefix="1" applyNumberFormat="1" applyFont="1" applyBorder="1" applyAlignment="1">
      <alignment horizontal="right" vertical="center" wrapText="1"/>
    </xf>
    <xf numFmtId="3" fontId="4" fillId="0" borderId="25" xfId="0" quotePrefix="1" applyNumberFormat="1" applyFont="1" applyBorder="1" applyAlignment="1">
      <alignment horizontal="right" vertical="center" wrapText="1"/>
    </xf>
    <xf numFmtId="3" fontId="4" fillId="0" borderId="26" xfId="0" quotePrefix="1" applyNumberFormat="1" applyFont="1" applyBorder="1" applyAlignment="1">
      <alignment horizontal="right" vertical="center" wrapText="1"/>
    </xf>
    <xf numFmtId="3" fontId="1" fillId="0" borderId="27" xfId="0" quotePrefix="1" applyNumberFormat="1" applyFont="1" applyBorder="1" applyAlignment="1">
      <alignment horizontal="right" vertical="center" wrapText="1"/>
    </xf>
    <xf numFmtId="3" fontId="1" fillId="0" borderId="25" xfId="0" applyNumberFormat="1" applyFont="1" applyBorder="1" applyAlignment="1">
      <alignment horizontal="right" vertical="center" wrapText="1"/>
    </xf>
    <xf numFmtId="0" fontId="4" fillId="0" borderId="31" xfId="0" applyFont="1" applyBorder="1" applyAlignment="1">
      <alignment horizontal="left" vertical="center" wrapText="1" indent="1"/>
    </xf>
    <xf numFmtId="3" fontId="1" fillId="0" borderId="32" xfId="0" applyNumberFormat="1" applyFont="1" applyBorder="1" applyAlignment="1">
      <alignment horizontal="right" vertical="center" wrapText="1"/>
    </xf>
    <xf numFmtId="164" fontId="1" fillId="0" borderId="33" xfId="0" applyNumberFormat="1" applyFont="1" applyBorder="1" applyAlignment="1">
      <alignment horizontal="right" vertical="center" wrapText="1"/>
    </xf>
    <xf numFmtId="3" fontId="4" fillId="0" borderId="34" xfId="0" applyNumberFormat="1" applyFont="1" applyBorder="1" applyAlignment="1">
      <alignment horizontal="right" vertical="center" wrapText="1"/>
    </xf>
    <xf numFmtId="3" fontId="4" fillId="0" borderId="35" xfId="0" applyNumberFormat="1" applyFont="1" applyBorder="1" applyAlignment="1">
      <alignment horizontal="right" vertical="center" wrapText="1"/>
    </xf>
    <xf numFmtId="3" fontId="4" fillId="0" borderId="36" xfId="0" applyNumberFormat="1" applyFont="1" applyBorder="1" applyAlignment="1">
      <alignment horizontal="right" vertical="center" wrapText="1"/>
    </xf>
    <xf numFmtId="3" fontId="4" fillId="0" borderId="37" xfId="0" applyNumberFormat="1" applyFont="1" applyBorder="1" applyAlignment="1">
      <alignment horizontal="right" vertical="center" wrapText="1"/>
    </xf>
    <xf numFmtId="3" fontId="4" fillId="0" borderId="38" xfId="0" applyNumberFormat="1" applyFont="1" applyBorder="1" applyAlignment="1">
      <alignment horizontal="right" vertical="center" wrapText="1"/>
    </xf>
    <xf numFmtId="3" fontId="4" fillId="0" borderId="39" xfId="0" applyNumberFormat="1" applyFont="1" applyBorder="1" applyAlignment="1">
      <alignment horizontal="right" vertical="center" wrapText="1"/>
    </xf>
    <xf numFmtId="3" fontId="1" fillId="0" borderId="40" xfId="0" applyNumberFormat="1" applyFont="1" applyBorder="1" applyAlignment="1">
      <alignment horizontal="right" vertical="center" wrapText="1"/>
    </xf>
    <xf numFmtId="0" fontId="4" fillId="0" borderId="41" xfId="0" applyFont="1" applyBorder="1" applyAlignment="1">
      <alignment horizontal="left" vertical="center" wrapText="1" indent="1"/>
    </xf>
    <xf numFmtId="3" fontId="1" fillId="3" borderId="42" xfId="0" applyNumberFormat="1" applyFont="1" applyFill="1" applyBorder="1" applyAlignment="1">
      <alignment horizontal="right" vertical="center" wrapText="1"/>
    </xf>
    <xf numFmtId="164" fontId="1" fillId="3" borderId="43" xfId="0" applyNumberFormat="1" applyFont="1" applyFill="1" applyBorder="1" applyAlignment="1">
      <alignment horizontal="right" vertical="center" wrapText="1"/>
    </xf>
    <xf numFmtId="3" fontId="4" fillId="0" borderId="44" xfId="0" applyNumberFormat="1" applyFont="1" applyBorder="1" applyAlignment="1">
      <alignment horizontal="right" vertical="center" wrapText="1"/>
    </xf>
    <xf numFmtId="3" fontId="4" fillId="0" borderId="12" xfId="0" applyNumberFormat="1" applyFont="1" applyBorder="1" applyAlignment="1">
      <alignment horizontal="right" vertical="center" wrapText="1"/>
    </xf>
    <xf numFmtId="3" fontId="4" fillId="0" borderId="13" xfId="0" applyNumberFormat="1" applyFont="1" applyBorder="1" applyAlignment="1">
      <alignment horizontal="right" vertical="center" wrapText="1"/>
    </xf>
    <xf numFmtId="3" fontId="4" fillId="0" borderId="14" xfId="0" applyNumberFormat="1" applyFont="1" applyBorder="1" applyAlignment="1">
      <alignment horizontal="right" vertical="center" wrapText="1"/>
    </xf>
    <xf numFmtId="3" fontId="4" fillId="0" borderId="15" xfId="0" applyNumberFormat="1" applyFont="1" applyBorder="1" applyAlignment="1">
      <alignment horizontal="right" vertical="center" wrapText="1"/>
    </xf>
    <xf numFmtId="3" fontId="4" fillId="0" borderId="16" xfId="0" applyNumberFormat="1" applyFont="1" applyBorder="1" applyAlignment="1">
      <alignment horizontal="right" vertical="center" wrapText="1"/>
    </xf>
    <xf numFmtId="3" fontId="1" fillId="0" borderId="17" xfId="0" applyNumberFormat="1" applyFont="1" applyBorder="1" applyAlignment="1">
      <alignment horizontal="right" vertical="center" wrapText="1"/>
    </xf>
    <xf numFmtId="3" fontId="1" fillId="3" borderId="21" xfId="0" applyNumberFormat="1" applyFont="1" applyFill="1" applyBorder="1" applyAlignment="1">
      <alignment horizontal="right" vertical="center" wrapText="1"/>
    </xf>
    <xf numFmtId="164" fontId="1" fillId="3" borderId="20" xfId="0" applyNumberFormat="1" applyFont="1" applyFill="1" applyBorder="1" applyAlignment="1">
      <alignment horizontal="right" vertical="center"/>
    </xf>
    <xf numFmtId="3" fontId="4" fillId="0" borderId="19" xfId="0" applyNumberFormat="1" applyFont="1" applyBorder="1" applyAlignment="1">
      <alignment horizontal="right" vertical="center" wrapText="1"/>
    </xf>
    <xf numFmtId="165" fontId="1" fillId="0" borderId="20" xfId="0" applyNumberFormat="1" applyFont="1" applyBorder="1" applyAlignment="1">
      <alignment horizontal="right" vertical="center" wrapText="1"/>
    </xf>
    <xf numFmtId="0" fontId="11" fillId="0" borderId="18" xfId="0" applyFont="1" applyBorder="1" applyAlignment="1">
      <alignment horizontal="left" vertical="center" wrapText="1" indent="1"/>
    </xf>
    <xf numFmtId="164" fontId="1" fillId="3" borderId="20" xfId="0" applyNumberFormat="1" applyFont="1" applyFill="1" applyBorder="1" applyAlignment="1">
      <alignment horizontal="right" vertical="center" wrapText="1"/>
    </xf>
    <xf numFmtId="0" fontId="4" fillId="0" borderId="45" xfId="0" applyFont="1" applyBorder="1" applyAlignment="1">
      <alignment horizontal="left" vertical="center" wrapText="1" indent="1"/>
    </xf>
    <xf numFmtId="3" fontId="1" fillId="3" borderId="32" xfId="0" applyNumberFormat="1" applyFont="1" applyFill="1" applyBorder="1" applyAlignment="1">
      <alignment horizontal="right" vertical="center" wrapText="1"/>
    </xf>
    <xf numFmtId="164" fontId="1" fillId="3" borderId="33" xfId="0" applyNumberFormat="1" applyFont="1" applyFill="1" applyBorder="1" applyAlignment="1">
      <alignment horizontal="right" vertical="center" wrapText="1"/>
    </xf>
    <xf numFmtId="3" fontId="4" fillId="0" borderId="32" xfId="0" applyNumberFormat="1" applyFont="1" applyBorder="1" applyAlignment="1">
      <alignment horizontal="right" vertical="center" wrapText="1"/>
    </xf>
    <xf numFmtId="3" fontId="1" fillId="0" borderId="21" xfId="0" applyNumberFormat="1" applyFont="1" applyBorder="1" applyAlignment="1">
      <alignment horizontal="right" vertical="center" wrapText="1"/>
    </xf>
    <xf numFmtId="3" fontId="8" fillId="0" borderId="19" xfId="0" applyNumberFormat="1" applyFont="1" applyBorder="1" applyAlignment="1">
      <alignment horizontal="right" vertical="center" wrapText="1"/>
    </xf>
    <xf numFmtId="3" fontId="8" fillId="0" borderId="22" xfId="0" applyNumberFormat="1" applyFont="1" applyBorder="1" applyAlignment="1">
      <alignment horizontal="right" vertical="center" wrapText="1"/>
    </xf>
    <xf numFmtId="3" fontId="8" fillId="0" borderId="23" xfId="0" applyNumberFormat="1" applyFont="1" applyBorder="1" applyAlignment="1">
      <alignment horizontal="right" vertical="center" wrapText="1"/>
    </xf>
    <xf numFmtId="3" fontId="8" fillId="0" borderId="24" xfId="0" applyNumberFormat="1" applyFont="1" applyBorder="1" applyAlignment="1">
      <alignment horizontal="right" vertical="center" wrapText="1"/>
    </xf>
    <xf numFmtId="3" fontId="8" fillId="0" borderId="25" xfId="0" applyNumberFormat="1" applyFont="1" applyBorder="1" applyAlignment="1">
      <alignment horizontal="right" vertical="center" wrapText="1"/>
    </xf>
    <xf numFmtId="3" fontId="8" fillId="0" borderId="26" xfId="0" applyNumberFormat="1" applyFont="1" applyBorder="1" applyAlignment="1">
      <alignment horizontal="right" vertical="center" wrapText="1"/>
    </xf>
    <xf numFmtId="3" fontId="9" fillId="0" borderId="27" xfId="0" applyNumberFormat="1" applyFont="1" applyBorder="1" applyAlignment="1">
      <alignment horizontal="right" vertical="center" wrapText="1"/>
    </xf>
    <xf numFmtId="3" fontId="1" fillId="0" borderId="27" xfId="0" applyNumberFormat="1" applyFont="1" applyBorder="1" applyAlignment="1">
      <alignment horizontal="right" vertical="center"/>
    </xf>
    <xf numFmtId="3" fontId="1" fillId="3" borderId="21" xfId="0" applyNumberFormat="1" applyFont="1" applyFill="1" applyBorder="1" applyAlignment="1">
      <alignment horizontal="right" vertical="center"/>
    </xf>
    <xf numFmtId="3" fontId="4" fillId="0" borderId="19" xfId="0" applyNumberFormat="1" applyFont="1" applyBorder="1" applyAlignment="1">
      <alignment horizontal="right" vertical="center"/>
    </xf>
    <xf numFmtId="3" fontId="4" fillId="0" borderId="22" xfId="0" applyNumberFormat="1" applyFont="1" applyBorder="1" applyAlignment="1">
      <alignment horizontal="right" vertical="center"/>
    </xf>
    <xf numFmtId="3" fontId="4" fillId="0" borderId="23" xfId="0" applyNumberFormat="1" applyFont="1" applyBorder="1" applyAlignment="1">
      <alignment horizontal="right" vertical="center"/>
    </xf>
    <xf numFmtId="3" fontId="4" fillId="0" borderId="24" xfId="0" applyNumberFormat="1" applyFont="1" applyBorder="1" applyAlignment="1">
      <alignment horizontal="right" vertical="center"/>
    </xf>
    <xf numFmtId="3" fontId="4" fillId="0" borderId="25" xfId="0" applyNumberFormat="1" applyFont="1" applyBorder="1" applyAlignment="1">
      <alignment horizontal="right" vertical="center"/>
    </xf>
    <xf numFmtId="3" fontId="4" fillId="0" borderId="26" xfId="0" applyNumberFormat="1" applyFont="1" applyBorder="1" applyAlignment="1">
      <alignment horizontal="right" vertical="center"/>
    </xf>
    <xf numFmtId="3" fontId="1" fillId="0" borderId="21" xfId="0" applyNumberFormat="1" applyFont="1" applyBorder="1" applyAlignment="1">
      <alignment horizontal="right" vertical="center"/>
    </xf>
    <xf numFmtId="164" fontId="1" fillId="0" borderId="20" xfId="0" applyNumberFormat="1" applyFont="1" applyBorder="1" applyAlignment="1">
      <alignment horizontal="right" vertical="center"/>
    </xf>
    <xf numFmtId="0" fontId="12" fillId="3" borderId="0" xfId="0" applyFont="1" applyFill="1" applyAlignment="1">
      <alignment vertical="top" wrapText="1"/>
    </xf>
    <xf numFmtId="0" fontId="4" fillId="4" borderId="46" xfId="0" applyFont="1" applyFill="1" applyBorder="1" applyAlignment="1">
      <alignment horizontal="left" vertical="center" wrapText="1" indent="1"/>
    </xf>
    <xf numFmtId="3" fontId="5" fillId="3" borderId="19" xfId="0" applyNumberFormat="1" applyFont="1" applyFill="1" applyBorder="1" applyAlignment="1">
      <alignment horizontal="right" vertical="center"/>
    </xf>
    <xf numFmtId="164" fontId="5" fillId="3" borderId="20" xfId="0" applyNumberFormat="1" applyFont="1" applyFill="1" applyBorder="1" applyAlignment="1">
      <alignment horizontal="right" vertical="center"/>
    </xf>
    <xf numFmtId="3" fontId="4" fillId="0" borderId="47" xfId="0" applyNumberFormat="1" applyFont="1" applyBorder="1" applyAlignment="1">
      <alignment horizontal="right" vertical="center"/>
    </xf>
    <xf numFmtId="0" fontId="4" fillId="4" borderId="48" xfId="0" applyFont="1" applyFill="1" applyBorder="1" applyAlignment="1">
      <alignment horizontal="left" vertical="center" wrapText="1" indent="1"/>
    </xf>
    <xf numFmtId="0" fontId="4" fillId="4" borderId="45" xfId="0" applyFont="1" applyFill="1" applyBorder="1" applyAlignment="1">
      <alignment horizontal="left" vertical="center" wrapText="1" indent="1"/>
    </xf>
    <xf numFmtId="3" fontId="5" fillId="3" borderId="32" xfId="0" applyNumberFormat="1" applyFont="1" applyFill="1" applyBorder="1" applyAlignment="1">
      <alignment horizontal="right" vertical="center"/>
    </xf>
    <xf numFmtId="164" fontId="5" fillId="3" borderId="33" xfId="0" applyNumberFormat="1" applyFont="1" applyFill="1" applyBorder="1" applyAlignment="1">
      <alignment horizontal="right" vertical="center"/>
    </xf>
    <xf numFmtId="3" fontId="4" fillId="0" borderId="32" xfId="0" applyNumberFormat="1" applyFont="1" applyBorder="1" applyAlignment="1">
      <alignment horizontal="right" vertical="center"/>
    </xf>
    <xf numFmtId="3" fontId="4" fillId="0" borderId="35" xfId="0" applyNumberFormat="1" applyFont="1" applyBorder="1" applyAlignment="1">
      <alignment horizontal="right" vertical="center"/>
    </xf>
    <xf numFmtId="3" fontId="4" fillId="0" borderId="36" xfId="0" applyNumberFormat="1" applyFont="1" applyBorder="1" applyAlignment="1">
      <alignment horizontal="right" vertical="center"/>
    </xf>
    <xf numFmtId="3" fontId="4" fillId="0" borderId="37" xfId="0" applyNumberFormat="1" applyFont="1" applyBorder="1" applyAlignment="1">
      <alignment horizontal="right" vertical="center"/>
    </xf>
    <xf numFmtId="3" fontId="4" fillId="0" borderId="38" xfId="0" applyNumberFormat="1" applyFont="1" applyBorder="1" applyAlignment="1">
      <alignment horizontal="right" vertical="center"/>
    </xf>
    <xf numFmtId="3" fontId="4" fillId="0" borderId="39" xfId="0" applyNumberFormat="1" applyFont="1" applyBorder="1" applyAlignment="1">
      <alignment horizontal="right" vertical="center"/>
    </xf>
    <xf numFmtId="3" fontId="1" fillId="0" borderId="40" xfId="0" applyNumberFormat="1" applyFont="1" applyBorder="1" applyAlignment="1">
      <alignment horizontal="right" vertical="center"/>
    </xf>
    <xf numFmtId="0" fontId="4" fillId="4" borderId="27" xfId="0" applyFont="1" applyFill="1" applyBorder="1" applyAlignment="1">
      <alignment horizontal="left" vertical="center" wrapText="1" indent="1"/>
    </xf>
    <xf numFmtId="3" fontId="1" fillId="3" borderId="49" xfId="0" applyNumberFormat="1" applyFont="1" applyFill="1" applyBorder="1" applyAlignment="1">
      <alignment horizontal="right" vertical="center" wrapText="1"/>
    </xf>
    <xf numFmtId="164" fontId="1" fillId="3" borderId="50" xfId="0" applyNumberFormat="1" applyFont="1" applyFill="1" applyBorder="1" applyAlignment="1">
      <alignment horizontal="right" vertical="center" wrapText="1"/>
    </xf>
    <xf numFmtId="3" fontId="4" fillId="0" borderId="51" xfId="0" applyNumberFormat="1" applyFont="1" applyBorder="1" applyAlignment="1">
      <alignment horizontal="right" vertical="center" wrapText="1"/>
    </xf>
    <xf numFmtId="3" fontId="4" fillId="0" borderId="52" xfId="0" applyNumberFormat="1" applyFont="1" applyBorder="1" applyAlignment="1">
      <alignment horizontal="right" vertical="center" wrapText="1"/>
    </xf>
    <xf numFmtId="3" fontId="4" fillId="0" borderId="53" xfId="0" applyNumberFormat="1" applyFont="1" applyBorder="1" applyAlignment="1">
      <alignment horizontal="right" vertical="center" wrapText="1"/>
    </xf>
    <xf numFmtId="3" fontId="4" fillId="0" borderId="54" xfId="0" applyNumberFormat="1" applyFont="1" applyBorder="1" applyAlignment="1">
      <alignment horizontal="right" vertical="center" wrapText="1"/>
    </xf>
    <xf numFmtId="3" fontId="4" fillId="0" borderId="55" xfId="0" applyNumberFormat="1" applyFont="1" applyBorder="1" applyAlignment="1">
      <alignment horizontal="right" vertical="center" wrapText="1"/>
    </xf>
    <xf numFmtId="3" fontId="1" fillId="0" borderId="56" xfId="0" applyNumberFormat="1" applyFont="1" applyBorder="1" applyAlignment="1">
      <alignment horizontal="right" vertical="center" wrapText="1"/>
    </xf>
    <xf numFmtId="0" fontId="4" fillId="0" borderId="58" xfId="0" applyFont="1" applyBorder="1" applyAlignment="1">
      <alignment horizontal="left" vertical="center" wrapText="1" indent="1"/>
    </xf>
    <xf numFmtId="3" fontId="4" fillId="0" borderId="47" xfId="0" applyNumberFormat="1" applyFont="1" applyBorder="1" applyAlignment="1">
      <alignment horizontal="right" vertical="center" wrapText="1"/>
    </xf>
    <xf numFmtId="3" fontId="8" fillId="0" borderId="47" xfId="0" applyNumberFormat="1" applyFont="1" applyBorder="1" applyAlignment="1">
      <alignment horizontal="right" vertical="center" wrapText="1"/>
    </xf>
    <xf numFmtId="0" fontId="1" fillId="0" borderId="27" xfId="0" applyFont="1" applyBorder="1" applyAlignment="1">
      <alignment horizontal="right" vertical="center" wrapText="1"/>
    </xf>
    <xf numFmtId="3" fontId="1" fillId="4" borderId="21" xfId="0" applyNumberFormat="1" applyFont="1" applyFill="1" applyBorder="1" applyAlignment="1">
      <alignment horizontal="right" vertical="center" wrapText="1"/>
    </xf>
    <xf numFmtId="164" fontId="1" fillId="4" borderId="20" xfId="0" applyNumberFormat="1" applyFont="1" applyFill="1" applyBorder="1" applyAlignment="1">
      <alignment horizontal="right" vertical="center" wrapText="1"/>
    </xf>
    <xf numFmtId="3" fontId="4" fillId="0" borderId="59" xfId="0" applyNumberFormat="1" applyFont="1" applyBorder="1" applyAlignment="1">
      <alignment horizontal="right" vertical="center"/>
    </xf>
    <xf numFmtId="3" fontId="4" fillId="0" borderId="60" xfId="0" applyNumberFormat="1" applyFont="1" applyBorder="1" applyAlignment="1">
      <alignment horizontal="right" vertical="center"/>
    </xf>
    <xf numFmtId="0" fontId="1" fillId="2" borderId="8" xfId="0" applyFont="1" applyFill="1" applyBorder="1" applyAlignment="1">
      <alignment horizontal="left" vertical="center"/>
    </xf>
    <xf numFmtId="0" fontId="1" fillId="4" borderId="61" xfId="0" applyFont="1" applyFill="1" applyBorder="1" applyAlignment="1">
      <alignment horizontal="right" vertical="center" wrapText="1"/>
    </xf>
    <xf numFmtId="164" fontId="1" fillId="4" borderId="62" xfId="0" applyNumberFormat="1" applyFont="1" applyFill="1" applyBorder="1" applyAlignment="1">
      <alignment horizontal="right" vertical="center" wrapText="1"/>
    </xf>
    <xf numFmtId="0" fontId="4" fillId="4" borderId="61" xfId="0" applyFont="1" applyFill="1" applyBorder="1" applyAlignment="1">
      <alignment horizontal="right" vertical="center" wrapText="1"/>
    </xf>
    <xf numFmtId="0" fontId="4" fillId="4" borderId="52" xfId="0" applyFont="1" applyFill="1" applyBorder="1" applyAlignment="1">
      <alignment horizontal="right" vertical="center" wrapText="1"/>
    </xf>
    <xf numFmtId="0" fontId="4" fillId="4" borderId="53" xfId="0" applyFont="1" applyFill="1" applyBorder="1" applyAlignment="1">
      <alignment horizontal="right" vertical="center" wrapText="1"/>
    </xf>
    <xf numFmtId="0" fontId="4" fillId="4" borderId="54" xfId="0" applyFont="1" applyFill="1" applyBorder="1" applyAlignment="1">
      <alignment horizontal="right" vertical="center" wrapText="1"/>
    </xf>
    <xf numFmtId="0" fontId="4" fillId="4" borderId="63" xfId="0" applyFont="1" applyFill="1" applyBorder="1" applyAlignment="1">
      <alignment horizontal="right" vertical="center" wrapText="1"/>
    </xf>
    <xf numFmtId="3" fontId="1" fillId="0" borderId="56" xfId="0" applyNumberFormat="1" applyFont="1" applyBorder="1" applyAlignment="1">
      <alignment horizontal="right" vertical="center"/>
    </xf>
    <xf numFmtId="0" fontId="1" fillId="4" borderId="21" xfId="0" applyFont="1" applyFill="1" applyBorder="1" applyAlignment="1">
      <alignment horizontal="right" vertical="center" wrapText="1"/>
    </xf>
    <xf numFmtId="0" fontId="4" fillId="4" borderId="21" xfId="0" applyFont="1" applyFill="1" applyBorder="1" applyAlignment="1">
      <alignment horizontal="right" vertical="center" wrapText="1"/>
    </xf>
    <xf numFmtId="0" fontId="4" fillId="4" borderId="22" xfId="0" applyFont="1" applyFill="1" applyBorder="1" applyAlignment="1">
      <alignment horizontal="right" vertical="center" wrapText="1"/>
    </xf>
    <xf numFmtId="0" fontId="4" fillId="4" borderId="23" xfId="0" applyFont="1" applyFill="1" applyBorder="1" applyAlignment="1">
      <alignment horizontal="right" vertical="center" wrapText="1"/>
    </xf>
    <xf numFmtId="0" fontId="4" fillId="4" borderId="24" xfId="0" applyFont="1" applyFill="1" applyBorder="1" applyAlignment="1">
      <alignment horizontal="right" vertical="center" wrapText="1"/>
    </xf>
    <xf numFmtId="0" fontId="4" fillId="4" borderId="47" xfId="0" applyFont="1" applyFill="1" applyBorder="1" applyAlignment="1">
      <alignment horizontal="right" vertical="center" wrapText="1"/>
    </xf>
    <xf numFmtId="3" fontId="4" fillId="0" borderId="64" xfId="0" applyNumberFormat="1" applyFont="1" applyBorder="1" applyAlignment="1">
      <alignment horizontal="right" vertical="center" wrapText="1"/>
    </xf>
    <xf numFmtId="3" fontId="4" fillId="0" borderId="65" xfId="0" applyNumberFormat="1" applyFont="1" applyBorder="1" applyAlignment="1">
      <alignment horizontal="right" vertical="center" wrapText="1"/>
    </xf>
    <xf numFmtId="3" fontId="4" fillId="0" borderId="66" xfId="0" applyNumberFormat="1" applyFont="1" applyBorder="1" applyAlignment="1">
      <alignment horizontal="right" vertical="center" wrapText="1"/>
    </xf>
    <xf numFmtId="3" fontId="4" fillId="0" borderId="67" xfId="0" applyNumberFormat="1" applyFont="1" applyBorder="1" applyAlignment="1">
      <alignment horizontal="right" vertical="center" wrapText="1"/>
    </xf>
    <xf numFmtId="3" fontId="1" fillId="0" borderId="48" xfId="0" applyNumberFormat="1" applyFont="1" applyBorder="1" applyAlignment="1">
      <alignment horizontal="right" vertical="center"/>
    </xf>
    <xf numFmtId="0" fontId="1" fillId="0" borderId="27" xfId="0" applyFont="1" applyBorder="1" applyAlignment="1">
      <alignment horizontal="right" vertical="center"/>
    </xf>
    <xf numFmtId="3" fontId="1" fillId="3" borderId="19" xfId="0" applyNumberFormat="1" applyFont="1" applyFill="1" applyBorder="1" applyAlignment="1">
      <alignment horizontal="right" vertical="center" wrapText="1"/>
    </xf>
    <xf numFmtId="3" fontId="1" fillId="3" borderId="57" xfId="0" applyNumberFormat="1" applyFont="1" applyFill="1" applyBorder="1" applyAlignment="1">
      <alignment horizontal="right" vertical="center" wrapText="1"/>
    </xf>
    <xf numFmtId="3" fontId="4" fillId="0" borderId="57" xfId="0" applyNumberFormat="1" applyFont="1" applyBorder="1" applyAlignment="1">
      <alignment horizontal="right" vertical="center" wrapText="1"/>
    </xf>
    <xf numFmtId="3" fontId="4" fillId="0" borderId="60" xfId="0" applyNumberFormat="1" applyFont="1" applyBorder="1" applyAlignment="1">
      <alignment horizontal="right" vertical="center" wrapText="1"/>
    </xf>
    <xf numFmtId="0" fontId="4" fillId="0" borderId="17" xfId="0" applyFont="1" applyBorder="1" applyAlignment="1">
      <alignment horizontal="left" vertical="center" wrapText="1" indent="1"/>
    </xf>
    <xf numFmtId="3" fontId="1" fillId="3" borderId="44" xfId="0" applyNumberFormat="1" applyFont="1" applyFill="1" applyBorder="1" applyAlignment="1">
      <alignment horizontal="right" vertical="center"/>
    </xf>
    <xf numFmtId="164" fontId="1" fillId="3" borderId="3" xfId="0" applyNumberFormat="1" applyFont="1" applyFill="1" applyBorder="1" applyAlignment="1">
      <alignment horizontal="right" vertical="center"/>
    </xf>
    <xf numFmtId="3" fontId="4" fillId="0" borderId="44" xfId="0" applyNumberFormat="1" applyFont="1" applyBorder="1" applyAlignment="1">
      <alignment horizontal="right" vertical="center"/>
    </xf>
    <xf numFmtId="0" fontId="4" fillId="0" borderId="27" xfId="0" applyFont="1" applyBorder="1" applyAlignment="1">
      <alignment horizontal="left" vertical="center" wrapText="1" indent="1"/>
    </xf>
    <xf numFmtId="3" fontId="1" fillId="3" borderId="19" xfId="0" applyNumberFormat="1" applyFont="1" applyFill="1" applyBorder="1" applyAlignment="1">
      <alignment horizontal="right" vertical="center"/>
    </xf>
    <xf numFmtId="0" fontId="4" fillId="0" borderId="68" xfId="0" applyFont="1" applyBorder="1" applyAlignment="1">
      <alignment horizontal="left" vertical="center" wrapText="1" indent="1"/>
    </xf>
    <xf numFmtId="3" fontId="1" fillId="3" borderId="32" xfId="0" applyNumberFormat="1" applyFont="1" applyFill="1" applyBorder="1" applyAlignment="1">
      <alignment horizontal="right" vertical="center"/>
    </xf>
    <xf numFmtId="164" fontId="1" fillId="3" borderId="33" xfId="0" applyNumberFormat="1" applyFont="1" applyFill="1" applyBorder="1" applyAlignment="1">
      <alignment horizontal="right" vertical="center"/>
    </xf>
    <xf numFmtId="3" fontId="1" fillId="3" borderId="42" xfId="0" quotePrefix="1" applyNumberFormat="1" applyFont="1" applyFill="1" applyBorder="1" applyAlignment="1">
      <alignment horizontal="right" vertical="center" wrapText="1"/>
    </xf>
    <xf numFmtId="164" fontId="1" fillId="3" borderId="43" xfId="0" quotePrefix="1" applyNumberFormat="1" applyFont="1" applyFill="1" applyBorder="1" applyAlignment="1">
      <alignment horizontal="right" vertical="center"/>
    </xf>
    <xf numFmtId="3" fontId="4" fillId="0" borderId="44" xfId="0" quotePrefix="1" applyNumberFormat="1" applyFont="1" applyBorder="1" applyAlignment="1">
      <alignment horizontal="right" vertical="center" wrapText="1"/>
    </xf>
    <xf numFmtId="3" fontId="4" fillId="0" borderId="12" xfId="0" quotePrefix="1" applyNumberFormat="1" applyFont="1" applyBorder="1" applyAlignment="1">
      <alignment horizontal="right" vertical="center" wrapText="1"/>
    </xf>
    <xf numFmtId="3" fontId="4" fillId="0" borderId="13" xfId="0" quotePrefix="1" applyNumberFormat="1" applyFont="1" applyBorder="1" applyAlignment="1">
      <alignment horizontal="right" vertical="center" wrapText="1"/>
    </xf>
    <xf numFmtId="3" fontId="4" fillId="0" borderId="14" xfId="0" quotePrefix="1" applyNumberFormat="1" applyFont="1" applyBorder="1" applyAlignment="1">
      <alignment horizontal="right" vertical="center" wrapText="1"/>
    </xf>
    <xf numFmtId="3" fontId="4" fillId="0" borderId="15" xfId="0" quotePrefix="1" applyNumberFormat="1" applyFont="1" applyBorder="1" applyAlignment="1">
      <alignment horizontal="right" vertical="center" wrapText="1"/>
    </xf>
    <xf numFmtId="3" fontId="4" fillId="0" borderId="16" xfId="0" quotePrefix="1" applyNumberFormat="1" applyFont="1" applyBorder="1" applyAlignment="1">
      <alignment horizontal="right" vertical="center" wrapText="1"/>
    </xf>
    <xf numFmtId="3" fontId="1" fillId="0" borderId="17" xfId="0" quotePrefix="1" applyNumberFormat="1" applyFont="1" applyBorder="1" applyAlignment="1">
      <alignment horizontal="right" vertical="center" wrapText="1"/>
    </xf>
    <xf numFmtId="3" fontId="1" fillId="3" borderId="21" xfId="0" quotePrefix="1" applyNumberFormat="1" applyFont="1" applyFill="1" applyBorder="1" applyAlignment="1">
      <alignment horizontal="right" vertical="center" wrapText="1"/>
    </xf>
    <xf numFmtId="164" fontId="1" fillId="3" borderId="20" xfId="0" quotePrefix="1" applyNumberFormat="1" applyFont="1" applyFill="1" applyBorder="1" applyAlignment="1">
      <alignment horizontal="right" vertical="center" wrapText="1"/>
    </xf>
    <xf numFmtId="3" fontId="4" fillId="0" borderId="19" xfId="0" quotePrefix="1" applyNumberFormat="1" applyFont="1" applyBorder="1" applyAlignment="1">
      <alignment horizontal="right" vertical="center" wrapText="1"/>
    </xf>
    <xf numFmtId="0" fontId="0" fillId="0" borderId="0" xfId="0" applyAlignment="1">
      <alignment vertical="center"/>
    </xf>
    <xf numFmtId="3" fontId="1" fillId="3" borderId="69" xfId="0" quotePrefix="1" applyNumberFormat="1" applyFont="1" applyFill="1" applyBorder="1" applyAlignment="1">
      <alignment horizontal="right" vertical="center" wrapText="1"/>
    </xf>
    <xf numFmtId="164" fontId="1" fillId="3" borderId="33" xfId="0" quotePrefix="1" applyNumberFormat="1" applyFont="1" applyFill="1" applyBorder="1" applyAlignment="1">
      <alignment horizontal="right" vertical="center" wrapText="1"/>
    </xf>
    <xf numFmtId="3" fontId="4" fillId="0" borderId="32" xfId="0" quotePrefix="1" applyNumberFormat="1" applyFont="1" applyBorder="1" applyAlignment="1">
      <alignment horizontal="right" vertical="center" wrapText="1"/>
    </xf>
    <xf numFmtId="3" fontId="4" fillId="0" borderId="35" xfId="0" quotePrefix="1" applyNumberFormat="1" applyFont="1" applyBorder="1" applyAlignment="1">
      <alignment horizontal="right" vertical="center" wrapText="1"/>
    </xf>
    <xf numFmtId="3" fontId="4" fillId="0" borderId="36" xfId="0" quotePrefix="1" applyNumberFormat="1" applyFont="1" applyBorder="1" applyAlignment="1">
      <alignment horizontal="right" vertical="center" wrapText="1"/>
    </xf>
    <xf numFmtId="3" fontId="4" fillId="0" borderId="37" xfId="0" quotePrefix="1" applyNumberFormat="1" applyFont="1" applyBorder="1" applyAlignment="1">
      <alignment horizontal="right" vertical="center" wrapText="1"/>
    </xf>
    <xf numFmtId="3" fontId="4" fillId="0" borderId="38" xfId="0" quotePrefix="1" applyNumberFormat="1" applyFont="1" applyBorder="1" applyAlignment="1">
      <alignment horizontal="right" vertical="center" wrapText="1"/>
    </xf>
    <xf numFmtId="3" fontId="4" fillId="0" borderId="39" xfId="0" quotePrefix="1" applyNumberFormat="1" applyFont="1" applyBorder="1" applyAlignment="1">
      <alignment horizontal="right" vertical="center" wrapText="1"/>
    </xf>
    <xf numFmtId="3" fontId="1" fillId="0" borderId="40" xfId="0" quotePrefix="1" applyNumberFormat="1" applyFont="1" applyBorder="1" applyAlignment="1">
      <alignment horizontal="right" vertical="center" wrapText="1"/>
    </xf>
    <xf numFmtId="3" fontId="1" fillId="0" borderId="70" xfId="0" applyNumberFormat="1" applyFont="1" applyBorder="1" applyAlignment="1">
      <alignment horizontal="right" vertical="center" wrapText="1"/>
    </xf>
    <xf numFmtId="164" fontId="1" fillId="0" borderId="71" xfId="0" applyNumberFormat="1" applyFont="1" applyBorder="1" applyAlignment="1">
      <alignment horizontal="right" vertical="center" wrapText="1"/>
    </xf>
    <xf numFmtId="0" fontId="13" fillId="0" borderId="0" xfId="0" applyFont="1" applyAlignment="1">
      <alignment vertical="center"/>
    </xf>
    <xf numFmtId="2" fontId="13" fillId="0" borderId="0" xfId="0" applyNumberFormat="1" applyFont="1" applyAlignment="1">
      <alignment vertical="center"/>
    </xf>
    <xf numFmtId="0" fontId="4" fillId="0" borderId="40" xfId="0" applyFont="1" applyBorder="1" applyAlignment="1">
      <alignment horizontal="left" vertical="center" wrapText="1" indent="1"/>
    </xf>
    <xf numFmtId="164" fontId="1" fillId="0" borderId="72" xfId="0" applyNumberFormat="1" applyFont="1" applyBorder="1" applyAlignment="1">
      <alignment horizontal="right" vertical="center" wrapText="1"/>
    </xf>
    <xf numFmtId="3" fontId="4" fillId="0" borderId="73" xfId="0" applyNumberFormat="1" applyFont="1" applyBorder="1" applyAlignment="1">
      <alignment horizontal="right" vertical="center" wrapText="1"/>
    </xf>
    <xf numFmtId="0" fontId="13" fillId="0" borderId="0" xfId="0" applyFont="1" applyAlignment="1">
      <alignment vertical="top"/>
    </xf>
    <xf numFmtId="0" fontId="15" fillId="0" borderId="0" xfId="0" applyFont="1" applyAlignment="1">
      <alignment vertical="top" wrapText="1"/>
    </xf>
    <xf numFmtId="0" fontId="0" fillId="0" borderId="0" xfId="0" applyAlignment="1">
      <alignment vertical="top"/>
    </xf>
    <xf numFmtId="0" fontId="17" fillId="0" borderId="0" xfId="0" applyFont="1" applyAlignment="1">
      <alignment vertical="top"/>
    </xf>
    <xf numFmtId="0" fontId="18" fillId="0" borderId="0" xfId="0" applyFont="1" applyAlignment="1">
      <alignment vertical="top"/>
    </xf>
    <xf numFmtId="0" fontId="19" fillId="0" borderId="0" xfId="0" applyFont="1" applyAlignment="1">
      <alignment vertical="top"/>
    </xf>
    <xf numFmtId="1" fontId="20" fillId="0" borderId="0" xfId="0" applyNumberFormat="1" applyFont="1" applyAlignment="1">
      <alignment horizontal="left" vertical="top"/>
    </xf>
    <xf numFmtId="0" fontId="14" fillId="0" borderId="0" xfId="0" applyFont="1" applyAlignment="1">
      <alignment vertical="top"/>
    </xf>
    <xf numFmtId="1" fontId="15" fillId="0" borderId="0" xfId="0" applyNumberFormat="1" applyFont="1" applyAlignment="1">
      <alignment vertical="top"/>
    </xf>
    <xf numFmtId="0" fontId="15" fillId="0" borderId="0" xfId="0" applyFont="1" applyAlignment="1">
      <alignment vertical="top"/>
    </xf>
    <xf numFmtId="0" fontId="16" fillId="0" borderId="0" xfId="0" applyFont="1" applyAlignment="1">
      <alignment vertical="top"/>
    </xf>
    <xf numFmtId="0" fontId="21" fillId="0" borderId="0" xfId="0" applyFont="1" applyAlignment="1">
      <alignment vertical="top"/>
    </xf>
    <xf numFmtId="164" fontId="21" fillId="0" borderId="0" xfId="0" applyNumberFormat="1" applyFont="1" applyAlignment="1">
      <alignment vertical="top"/>
    </xf>
    <xf numFmtId="0" fontId="22" fillId="0" borderId="0" xfId="0" applyFont="1" applyAlignment="1">
      <alignment vertical="top"/>
    </xf>
    <xf numFmtId="0" fontId="16" fillId="0" borderId="0" xfId="0" applyFont="1" applyAlignment="1">
      <alignment horizontal="left" vertical="top" wrapText="1"/>
    </xf>
    <xf numFmtId="0" fontId="15" fillId="0" borderId="0" xfId="0" applyFont="1"/>
    <xf numFmtId="0" fontId="15" fillId="0" borderId="0" xfId="0" applyFont="1" applyAlignment="1">
      <alignment horizontal="left" wrapText="1"/>
    </xf>
    <xf numFmtId="164" fontId="15" fillId="0" borderId="0" xfId="0" applyNumberFormat="1" applyFont="1" applyAlignment="1">
      <alignment horizontal="left" wrapText="1"/>
    </xf>
    <xf numFmtId="0" fontId="23" fillId="0" borderId="0" xfId="0" quotePrefix="1" applyFont="1"/>
    <xf numFmtId="0" fontId="1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horizontal="center" vertical="center" textRotation="75"/>
    </xf>
    <xf numFmtId="164" fontId="1" fillId="2" borderId="3" xfId="0" applyNumberFormat="1" applyFont="1" applyFill="1" applyBorder="1" applyAlignment="1">
      <alignment horizontal="center" vertical="center" textRotation="75"/>
    </xf>
    <xf numFmtId="0" fontId="1" fillId="2" borderId="4" xfId="0" applyFont="1" applyFill="1" applyBorder="1" applyAlignment="1">
      <alignment horizontal="center" vertical="center" textRotation="75"/>
    </xf>
    <xf numFmtId="0" fontId="1" fillId="2" borderId="5" xfId="0" applyFont="1" applyFill="1" applyBorder="1" applyAlignment="1">
      <alignment horizontal="center" vertical="center" textRotation="75"/>
    </xf>
    <xf numFmtId="0" fontId="1" fillId="2" borderId="6" xfId="0" applyFont="1" applyFill="1" applyBorder="1" applyAlignment="1">
      <alignment horizontal="center" vertical="center" textRotation="75"/>
    </xf>
    <xf numFmtId="0" fontId="1" fillId="2" borderId="7" xfId="0" applyFont="1" applyFill="1" applyBorder="1" applyAlignment="1">
      <alignment horizontal="center" vertical="center" textRotation="75"/>
    </xf>
    <xf numFmtId="0" fontId="1" fillId="2" borderId="8" xfId="0" applyFont="1" applyFill="1" applyBorder="1" applyAlignment="1">
      <alignment horizontal="center" vertical="center" textRotation="75"/>
    </xf>
    <xf numFmtId="1" fontId="1" fillId="2" borderId="1" xfId="0" applyNumberFormat="1" applyFont="1" applyFill="1" applyBorder="1" applyAlignment="1">
      <alignment horizontal="center" vertical="center" textRotation="75"/>
    </xf>
    <xf numFmtId="0" fontId="16" fillId="0" borderId="0" xfId="0" applyFont="1" applyAlignment="1">
      <alignment wrapText="1"/>
    </xf>
    <xf numFmtId="0" fontId="14" fillId="0" borderId="0" xfId="0" applyFont="1" applyAlignment="1">
      <alignment vertical="top" wrapText="1"/>
    </xf>
    <xf numFmtId="0" fontId="16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0" fillId="0" borderId="0" xfId="0" applyAlignment="1">
      <alignment wrapText="1"/>
    </xf>
    <xf numFmtId="3" fontId="6" fillId="0" borderId="0" xfId="0" applyNumberFormat="1" applyFont="1" applyAlignment="1">
      <alignment vertical="center"/>
    </xf>
    <xf numFmtId="0" fontId="24" fillId="0" borderId="0" xfId="0" applyFont="1" applyAlignment="1">
      <alignment horizontal="center" vertical="center" wrapText="1"/>
    </xf>
    <xf numFmtId="3" fontId="13" fillId="0" borderId="0" xfId="0" applyNumberFormat="1" applyFont="1" applyAlignment="1">
      <alignment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ID_data_original!$A$75:$P$75</c:f>
              <c:strCache>
                <c:ptCount val="16"/>
                <c:pt idx="0">
                  <c:v>Outbreaks</c:v>
                </c:pt>
                <c:pt idx="1">
                  <c:v>Other11</c:v>
                </c:pt>
                <c:pt idx="2">
                  <c:v>5</c:v>
                </c:pt>
                <c:pt idx="3">
                  <c:v>0.2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0</c:v>
                </c:pt>
                <c:pt idx="12">
                  <c:v>1</c:v>
                </c:pt>
                <c:pt idx="13">
                  <c:v>0</c:v>
                </c:pt>
                <c:pt idx="14">
                  <c:v>1</c:v>
                </c:pt>
                <c:pt idx="15">
                  <c:v>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ID_data_original!$B$2:$B$75</c:f>
              <c:strCache>
                <c:ptCount val="74"/>
                <c:pt idx="0">
                  <c:v>AIDS</c:v>
                </c:pt>
                <c:pt idx="1">
                  <c:v>HIV </c:v>
                </c:pt>
                <c:pt idx="2">
                  <c:v>Chlamydia</c:v>
                </c:pt>
                <c:pt idx="3">
                  <c:v>Chancroid</c:v>
                </c:pt>
                <c:pt idx="4">
                  <c:v>Gonorrhea</c:v>
                </c:pt>
                <c:pt idx="5">
                  <c:v>Hepatitis B - cases</c:v>
                </c:pt>
                <c:pt idx="6">
                  <c:v>Hepatitis B - carriers</c:v>
                </c:pt>
                <c:pt idx="7">
                  <c:v>Hepatitis B - unclassified4</c:v>
                </c:pt>
                <c:pt idx="8">
                  <c:v>Hepatitis C</c:v>
                </c:pt>
                <c:pt idx="9">
                  <c:v>Ophthalmia neonatorum</c:v>
                </c:pt>
                <c:pt idx="10">
                  <c:v>Syphilis, early congenital</c:v>
                </c:pt>
                <c:pt idx="11">
                  <c:v>Syphilis, infectious</c:v>
                </c:pt>
                <c:pt idx="12">
                  <c:v>Syphilis, other5</c:v>
                </c:pt>
                <c:pt idx="13">
                  <c:v>Amebiasis</c:v>
                </c:pt>
                <c:pt idx="14">
                  <c:v>Botulism</c:v>
                </c:pt>
                <c:pt idx="15">
                  <c:v>Campylobacter enteritis</c:v>
                </c:pt>
                <c:pt idx="16">
                  <c:v>Cholera</c:v>
                </c:pt>
                <c:pt idx="17">
                  <c:v>Cryptosporidiosis</c:v>
                </c:pt>
                <c:pt idx="18">
                  <c:v>Cyclosporiasis</c:v>
                </c:pt>
                <c:pt idx="19">
                  <c:v>Food poisoning</c:v>
                </c:pt>
                <c:pt idx="20">
                  <c:v>Giardiasis</c:v>
                </c:pt>
                <c:pt idx="21">
                  <c:v>Hepatitis A</c:v>
                </c:pt>
                <c:pt idx="22">
                  <c:v>Listeriosis</c:v>
                </c:pt>
                <c:pt idx="23">
                  <c:v>Paralytic shellfish poisoning</c:v>
                </c:pt>
                <c:pt idx="24">
                  <c:v>Paratyphoid fever</c:v>
                </c:pt>
                <c:pt idx="25">
                  <c:v>Salmonellosis</c:v>
                </c:pt>
                <c:pt idx="26">
                  <c:v>Shigellosis</c:v>
                </c:pt>
                <c:pt idx="27">
                  <c:v>Trichinosis</c:v>
                </c:pt>
                <c:pt idx="28">
                  <c:v>Typhoid fever</c:v>
                </c:pt>
                <c:pt idx="29">
                  <c:v>Verotoxin-producing E. coli infection</c:v>
                </c:pt>
                <c:pt idx="30">
                  <c:v>Yersiniosis</c:v>
                </c:pt>
                <c:pt idx="31">
                  <c:v>Acute flaccid paralysis</c:v>
                </c:pt>
                <c:pt idx="32">
                  <c:v>Adverse vaccine reactions</c:v>
                </c:pt>
                <c:pt idx="33">
                  <c:v>Chickenpox</c:v>
                </c:pt>
                <c:pt idx="34">
                  <c:v>COVID-196</c:v>
                </c:pt>
                <c:pt idx="35">
                  <c:v>Diphtheria</c:v>
                </c:pt>
                <c:pt idx="36">
                  <c:v>Haemophilus influenzae, invasive</c:v>
                </c:pt>
                <c:pt idx="37">
                  <c:v>Influenza</c:v>
                </c:pt>
                <c:pt idx="38">
                  <c:v>Measles</c:v>
                </c:pt>
                <c:pt idx="39">
                  <c:v>Mpox7</c:v>
                </c:pt>
                <c:pt idx="40">
                  <c:v>Mumps</c:v>
                </c:pt>
                <c:pt idx="41">
                  <c:v>Pertussis</c:v>
                </c:pt>
                <c:pt idx="42">
                  <c:v>Rubella</c:v>
                </c:pt>
                <c:pt idx="43">
                  <c:v>Rubella, congenital syndrome</c:v>
                </c:pt>
                <c:pt idx="44">
                  <c:v>Tetanus</c:v>
                </c:pt>
                <c:pt idx="45">
                  <c:v>Legionellosis</c:v>
                </c:pt>
                <c:pt idx="46">
                  <c:v>Leprosy</c:v>
                </c:pt>
                <c:pt idx="47">
                  <c:v>Meningococcal disease, invasive</c:v>
                </c:pt>
                <c:pt idx="48">
                  <c:v>Group A Streptococcal disease, invasive</c:v>
                </c:pt>
                <c:pt idx="49">
                  <c:v>Group B Streptococcal disease, neonatal</c:v>
                </c:pt>
                <c:pt idx="50">
                  <c:v>Pneumococcal disease, invasive</c:v>
                </c:pt>
                <c:pt idx="51">
                  <c:v>TB: Atypical mycobacterial infections</c:v>
                </c:pt>
                <c:pt idx="52">
                  <c:v>Tuberculosis8</c:v>
                </c:pt>
                <c:pt idx="53">
                  <c:v>Anaplasmosis9</c:v>
                </c:pt>
                <c:pt idx="54">
                  <c:v>Babesiosis9</c:v>
                </c:pt>
                <c:pt idx="55">
                  <c:v>Brucellosis</c:v>
                </c:pt>
                <c:pt idx="56">
                  <c:v>Echinococcus multilocularis infection</c:v>
                </c:pt>
                <c:pt idx="57">
                  <c:v>Hemorrhagic fevers</c:v>
                </c:pt>
                <c:pt idx="58">
                  <c:v>Lyme disease</c:v>
                </c:pt>
                <c:pt idx="59">
                  <c:v>Powassan virus9</c:v>
                </c:pt>
                <c:pt idx="60">
                  <c:v>Q fever</c:v>
                </c:pt>
                <c:pt idx="61">
                  <c:v>Rabies</c:v>
                </c:pt>
                <c:pt idx="62">
                  <c:v>Tularemia</c:v>
                </c:pt>
                <c:pt idx="63">
                  <c:v>West Nile Virus</c:v>
                </c:pt>
                <c:pt idx="64">
                  <c:v>Blastomycosis</c:v>
                </c:pt>
                <c:pt idx="65">
                  <c:v>Carbapenamase-producing Enterobacteriaceae3</c:v>
                </c:pt>
                <c:pt idx="66">
                  <c:v>Transmissible spongiform encephalopathy: Creutzfeldt-Jakob disease</c:v>
                </c:pt>
                <c:pt idx="67">
                  <c:v>Encephalitis/Meningitis - bacterial10</c:v>
                </c:pt>
                <c:pt idx="68">
                  <c:v>Encephalitis/Meningitis - viral10</c:v>
                </c:pt>
                <c:pt idx="69">
                  <c:v>Encephalitis/Meningitis - other10</c:v>
                </c:pt>
                <c:pt idx="70">
                  <c:v>Encephalitis/Meningitis - unknown10</c:v>
                </c:pt>
                <c:pt idx="71">
                  <c:v>Gastroenteritis11</c:v>
                </c:pt>
                <c:pt idx="72">
                  <c:v>Respiratory Infection11</c:v>
                </c:pt>
                <c:pt idx="73">
                  <c:v>Other11</c:v>
                </c:pt>
              </c:strCache>
            </c:strRef>
          </c:cat>
          <c:val>
            <c:numRef>
              <c:f>ID_data_original!$Q$75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3E-0147-9A2F-E95D700C0B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78733024"/>
        <c:axId val="278808272"/>
      </c:barChart>
      <c:catAx>
        <c:axId val="278733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8808272"/>
        <c:crosses val="autoZero"/>
        <c:auto val="1"/>
        <c:lblAlgn val="ctr"/>
        <c:lblOffset val="100"/>
        <c:noMultiLvlLbl val="0"/>
      </c:catAx>
      <c:valAx>
        <c:axId val="278808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87330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967980416"/>
        <c:axId val="1967343392"/>
      </c:barChart>
      <c:catAx>
        <c:axId val="196798041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7343392"/>
        <c:crosses val="autoZero"/>
        <c:auto val="1"/>
        <c:lblAlgn val="ctr"/>
        <c:lblOffset val="100"/>
        <c:noMultiLvlLbl val="0"/>
      </c:catAx>
      <c:valAx>
        <c:axId val="19673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79804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ID_data!$A$57:$P$57</c:f>
              <c:strCache>
                <c:ptCount val="16"/>
                <c:pt idx="0">
                  <c:v>Outbreaks</c:v>
                </c:pt>
                <c:pt idx="1">
                  <c:v>Other</c:v>
                </c:pt>
                <c:pt idx="2">
                  <c:v>5</c:v>
                </c:pt>
                <c:pt idx="3">
                  <c:v>0.2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0</c:v>
                </c:pt>
                <c:pt idx="12">
                  <c:v>1</c:v>
                </c:pt>
                <c:pt idx="13">
                  <c:v>0</c:v>
                </c:pt>
                <c:pt idx="14">
                  <c:v>1</c:v>
                </c:pt>
                <c:pt idx="15">
                  <c:v>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ID_data!$B$2:$B$57</c:f>
              <c:strCache>
                <c:ptCount val="56"/>
                <c:pt idx="0">
                  <c:v>AIDS</c:v>
                </c:pt>
                <c:pt idx="1">
                  <c:v>HIV </c:v>
                </c:pt>
                <c:pt idx="2">
                  <c:v>Chlamydia</c:v>
                </c:pt>
                <c:pt idx="3">
                  <c:v>Gonorrhea</c:v>
                </c:pt>
                <c:pt idx="4">
                  <c:v>Hepatitis B - cases</c:v>
                </c:pt>
                <c:pt idx="5">
                  <c:v>Hepatitis B - carriers</c:v>
                </c:pt>
                <c:pt idx="6">
                  <c:v>Hepatitis B - unclassified</c:v>
                </c:pt>
                <c:pt idx="7">
                  <c:v>Hepatitis C</c:v>
                </c:pt>
                <c:pt idx="8">
                  <c:v>Ophthalmia neonatorum</c:v>
                </c:pt>
                <c:pt idx="9">
                  <c:v>Syphilis, early congenital</c:v>
                </c:pt>
                <c:pt idx="10">
                  <c:v>Syphilis, infectious</c:v>
                </c:pt>
                <c:pt idx="11">
                  <c:v>Syphilis, other</c:v>
                </c:pt>
                <c:pt idx="12">
                  <c:v>Amebiasis</c:v>
                </c:pt>
                <c:pt idx="13">
                  <c:v>Campylobacter enteritis</c:v>
                </c:pt>
                <c:pt idx="14">
                  <c:v>Cryptosporidiosis</c:v>
                </c:pt>
                <c:pt idx="15">
                  <c:v>Cyclosporiasis</c:v>
                </c:pt>
                <c:pt idx="16">
                  <c:v>Food poisoning</c:v>
                </c:pt>
                <c:pt idx="17">
                  <c:v>Giardiasis</c:v>
                </c:pt>
                <c:pt idx="18">
                  <c:v>Hepatitis A</c:v>
                </c:pt>
                <c:pt idx="19">
                  <c:v>Listeriosis</c:v>
                </c:pt>
                <c:pt idx="20">
                  <c:v>Paratyphoid fever</c:v>
                </c:pt>
                <c:pt idx="21">
                  <c:v>Salmonellosis</c:v>
                </c:pt>
                <c:pt idx="22">
                  <c:v>Shigellosis</c:v>
                </c:pt>
                <c:pt idx="23">
                  <c:v>Trichinosis</c:v>
                </c:pt>
                <c:pt idx="24">
                  <c:v>Typhoid fever</c:v>
                </c:pt>
                <c:pt idx="25">
                  <c:v>Verotoxin-producing E. coli infection</c:v>
                </c:pt>
                <c:pt idx="26">
                  <c:v>Yersiniosis</c:v>
                </c:pt>
                <c:pt idx="27">
                  <c:v>Acute flaccid paralysis</c:v>
                </c:pt>
                <c:pt idx="28">
                  <c:v>Adverse vaccine reactions</c:v>
                </c:pt>
                <c:pt idx="29">
                  <c:v>Chickenpox</c:v>
                </c:pt>
                <c:pt idx="30">
                  <c:v>COVID-19</c:v>
                </c:pt>
                <c:pt idx="31">
                  <c:v>Diphtheria</c:v>
                </c:pt>
                <c:pt idx="32">
                  <c:v>Haemophilus influenzae, invasive</c:v>
                </c:pt>
                <c:pt idx="33">
                  <c:v>Influenza</c:v>
                </c:pt>
                <c:pt idx="34">
                  <c:v>Measles</c:v>
                </c:pt>
                <c:pt idx="35">
                  <c:v>Mpox</c:v>
                </c:pt>
                <c:pt idx="36">
                  <c:v>Mumps</c:v>
                </c:pt>
                <c:pt idx="37">
                  <c:v>Pertussis</c:v>
                </c:pt>
                <c:pt idx="38">
                  <c:v>Legionellosis</c:v>
                </c:pt>
                <c:pt idx="39">
                  <c:v>Meningococcal disease, invasive</c:v>
                </c:pt>
                <c:pt idx="40">
                  <c:v>Group A Streptococcal disease, invasive</c:v>
                </c:pt>
                <c:pt idx="41">
                  <c:v>Group B Streptococcal disease, neonatal</c:v>
                </c:pt>
                <c:pt idx="42">
                  <c:v>Pneumococcal disease, invasive</c:v>
                </c:pt>
                <c:pt idx="43">
                  <c:v>TB: Atypical mycobacterial infections</c:v>
                </c:pt>
                <c:pt idx="44">
                  <c:v>Tuberculosis</c:v>
                </c:pt>
                <c:pt idx="45">
                  <c:v>Anaplasmosis</c:v>
                </c:pt>
                <c:pt idx="46">
                  <c:v>Brucellosis</c:v>
                </c:pt>
                <c:pt idx="47">
                  <c:v>Hemorrhagic fevers</c:v>
                </c:pt>
                <c:pt idx="48">
                  <c:v>Lyme disease</c:v>
                </c:pt>
                <c:pt idx="49">
                  <c:v>Q fever</c:v>
                </c:pt>
                <c:pt idx="50">
                  <c:v>West Nile Virus</c:v>
                </c:pt>
                <c:pt idx="51">
                  <c:v>Blastomycosis</c:v>
                </c:pt>
                <c:pt idx="52">
                  <c:v>Carbapenamase-producing Enterobacteriaceae</c:v>
                </c:pt>
                <c:pt idx="53">
                  <c:v>Gastroenteritis</c:v>
                </c:pt>
                <c:pt idx="54">
                  <c:v>Respiratory Infection</c:v>
                </c:pt>
                <c:pt idx="55">
                  <c:v>Other</c:v>
                </c:pt>
              </c:strCache>
            </c:strRef>
          </c:cat>
          <c:val>
            <c:numRef>
              <c:f>ID_data!$Q$57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70-8D49-8338-BFB95B9777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78733024"/>
        <c:axId val="278808272"/>
      </c:barChart>
      <c:catAx>
        <c:axId val="278733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8808272"/>
        <c:crosses val="autoZero"/>
        <c:auto val="1"/>
        <c:lblAlgn val="ctr"/>
        <c:lblOffset val="100"/>
        <c:noMultiLvlLbl val="0"/>
      </c:catAx>
      <c:valAx>
        <c:axId val="278808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87330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967980416"/>
        <c:axId val="1967343392"/>
      </c:barChart>
      <c:catAx>
        <c:axId val="196798041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7343392"/>
        <c:crosses val="autoZero"/>
        <c:auto val="1"/>
        <c:lblAlgn val="ctr"/>
        <c:lblOffset val="100"/>
        <c:noMultiLvlLbl val="0"/>
      </c:catAx>
      <c:valAx>
        <c:axId val="19673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79804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[ID_communical_diseases_2024_Excel.xlsx]Visualization!PivotTable1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9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9600"/>
              <a:t>2024 </a:t>
            </a:r>
            <a:r>
              <a:rPr lang="en-US" sz="96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rial" panose="020B0604020202020204" pitchFamily="34" charset="0"/>
                <a:cs typeface="Arial" panose="020B0604020202020204" pitchFamily="34" charset="0"/>
              </a:rPr>
              <a:t>Reportable</a:t>
            </a:r>
            <a:r>
              <a:rPr lang="en-US" sz="9600"/>
              <a:t> Communicable Diseases in Toronto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4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4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4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4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4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4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4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4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4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4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4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4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4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4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Visualization!$B$3</c:f>
              <c:strCache>
                <c:ptCount val="1"/>
                <c:pt idx="0">
                  <c:v>Sum of January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multiLvlStrRef>
              <c:f>Visualization!$A$4:$A$69</c:f>
              <c:multiLvlStrCache>
                <c:ptCount val="58"/>
                <c:lvl>
                  <c:pt idx="0">
                    <c:v>Brucellosis</c:v>
                  </c:pt>
                  <c:pt idx="1">
                    <c:v>Hemorrhagic fevers</c:v>
                  </c:pt>
                  <c:pt idx="2">
                    <c:v>Lyme disease</c:v>
                  </c:pt>
                  <c:pt idx="3">
                    <c:v>Q fever</c:v>
                  </c:pt>
                  <c:pt idx="4">
                    <c:v>Rabies</c:v>
                  </c:pt>
                  <c:pt idx="5">
                    <c:v>Tularemia</c:v>
                  </c:pt>
                  <c:pt idx="6">
                    <c:v>West Nile Virus</c:v>
                  </c:pt>
                  <c:pt idx="7">
                    <c:v>Anaplasmosis</c:v>
                  </c:pt>
                  <c:pt idx="8">
                    <c:v>Acute flaccid paralysis</c:v>
                  </c:pt>
                  <c:pt idx="9">
                    <c:v>Adverse vaccine reactions</c:v>
                  </c:pt>
                  <c:pt idx="10">
                    <c:v>Chickenpox</c:v>
                  </c:pt>
                  <c:pt idx="11">
                    <c:v>Diphtheria</c:v>
                  </c:pt>
                  <c:pt idx="12">
                    <c:v>Haemophilus influenzae, invasive</c:v>
                  </c:pt>
                  <c:pt idx="13">
                    <c:v>Influenza</c:v>
                  </c:pt>
                  <c:pt idx="14">
                    <c:v>Measles</c:v>
                  </c:pt>
                  <c:pt idx="15">
                    <c:v>Mumps</c:v>
                  </c:pt>
                  <c:pt idx="16">
                    <c:v>Pertussis</c:v>
                  </c:pt>
                  <c:pt idx="17">
                    <c:v>COVID-19</c:v>
                  </c:pt>
                  <c:pt idx="18">
                    <c:v>Mpox</c:v>
                  </c:pt>
                  <c:pt idx="19">
                    <c:v>AIDS</c:v>
                  </c:pt>
                  <c:pt idx="20">
                    <c:v>Chlamydia</c:v>
                  </c:pt>
                  <c:pt idx="21">
                    <c:v>Gonorrhea</c:v>
                  </c:pt>
                  <c:pt idx="22">
                    <c:v>Hepatitis B - carriers</c:v>
                  </c:pt>
                  <c:pt idx="23">
                    <c:v>Hepatitis B - cases</c:v>
                  </c:pt>
                  <c:pt idx="24">
                    <c:v>Hepatitis C</c:v>
                  </c:pt>
                  <c:pt idx="25">
                    <c:v>HIV </c:v>
                  </c:pt>
                  <c:pt idx="26">
                    <c:v>Ophthalmia neonatorum</c:v>
                  </c:pt>
                  <c:pt idx="27">
                    <c:v>Syphilis, early congenital</c:v>
                  </c:pt>
                  <c:pt idx="28">
                    <c:v>Syphilis, infectious</c:v>
                  </c:pt>
                  <c:pt idx="29">
                    <c:v>Hepatitis B - unclassified</c:v>
                  </c:pt>
                  <c:pt idx="30">
                    <c:v>Syphilis, other</c:v>
                  </c:pt>
                  <c:pt idx="31">
                    <c:v>Gastroenteritis</c:v>
                  </c:pt>
                  <c:pt idx="32">
                    <c:v>Respiratory Infection</c:v>
                  </c:pt>
                  <c:pt idx="33">
                    <c:v>Other</c:v>
                  </c:pt>
                  <c:pt idx="34">
                    <c:v>Blastomycosis</c:v>
                  </c:pt>
                  <c:pt idx="35">
                    <c:v>Carbapenamase-producing Enterobacteriaceae</c:v>
                  </c:pt>
                  <c:pt idx="36">
                    <c:v>Amebiasis</c:v>
                  </c:pt>
                  <c:pt idx="37">
                    <c:v>Campylobacter enteritis</c:v>
                  </c:pt>
                  <c:pt idx="38">
                    <c:v>Cryptosporidiosis</c:v>
                  </c:pt>
                  <c:pt idx="39">
                    <c:v>Cyclosporiasis</c:v>
                  </c:pt>
                  <c:pt idx="40">
                    <c:v>Food poisoning</c:v>
                  </c:pt>
                  <c:pt idx="41">
                    <c:v>Giardiasis</c:v>
                  </c:pt>
                  <c:pt idx="42">
                    <c:v>Hepatitis A</c:v>
                  </c:pt>
                  <c:pt idx="43">
                    <c:v>Listeriosis</c:v>
                  </c:pt>
                  <c:pt idx="44">
                    <c:v>Paratyphoid fever</c:v>
                  </c:pt>
                  <c:pt idx="45">
                    <c:v>Salmonellosis</c:v>
                  </c:pt>
                  <c:pt idx="46">
                    <c:v>Shigellosis</c:v>
                  </c:pt>
                  <c:pt idx="47">
                    <c:v>Trichinosis</c:v>
                  </c:pt>
                  <c:pt idx="48">
                    <c:v>Typhoid fever</c:v>
                  </c:pt>
                  <c:pt idx="49">
                    <c:v>Verotoxin-producing E. coli infection</c:v>
                  </c:pt>
                  <c:pt idx="50">
                    <c:v>Yersiniosis</c:v>
                  </c:pt>
                  <c:pt idx="51">
                    <c:v>Group A Streptococcal disease, invasive</c:v>
                  </c:pt>
                  <c:pt idx="52">
                    <c:v>Group B Streptococcal disease, neonatal</c:v>
                  </c:pt>
                  <c:pt idx="53">
                    <c:v>Legionellosis</c:v>
                  </c:pt>
                  <c:pt idx="54">
                    <c:v>Meningococcal disease, invasive</c:v>
                  </c:pt>
                  <c:pt idx="55">
                    <c:v>Pneumococcal disease, invasive</c:v>
                  </c:pt>
                  <c:pt idx="56">
                    <c:v>TB: Atypical mycobacterial infections</c:v>
                  </c:pt>
                  <c:pt idx="57">
                    <c:v>Tuberculosis</c:v>
                  </c:pt>
                </c:lvl>
                <c:lvl>
                  <c:pt idx="0">
                    <c:v>Vectorborne and Zoonotics</c:v>
                  </c:pt>
                  <c:pt idx="8">
                    <c:v>Vaccine Preventable </c:v>
                  </c:pt>
                  <c:pt idx="19">
                    <c:v>Sexually Transmitted and Bloodborne</c:v>
                  </c:pt>
                  <c:pt idx="31">
                    <c:v>Outbreaks</c:v>
                  </c:pt>
                  <c:pt idx="34">
                    <c:v>Other</c:v>
                  </c:pt>
                  <c:pt idx="36">
                    <c:v>Enteric, Food and Waterborne</c:v>
                  </c:pt>
                  <c:pt idx="51">
                    <c:v>Direct Contact and Respiratory</c:v>
                  </c:pt>
                </c:lvl>
              </c:multiLvlStrCache>
            </c:multiLvlStrRef>
          </c:cat>
          <c:val>
            <c:numRef>
              <c:f>Visualization!$B$4:$B$69</c:f>
              <c:numCache>
                <c:formatCode>General</c:formatCode>
                <c:ptCount val="5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39</c:v>
                </c:pt>
                <c:pt idx="11">
                  <c:v>0</c:v>
                </c:pt>
                <c:pt idx="12">
                  <c:v>8</c:v>
                </c:pt>
                <c:pt idx="13">
                  <c:v>1575</c:v>
                </c:pt>
                <c:pt idx="14">
                  <c:v>0</c:v>
                </c:pt>
                <c:pt idx="15">
                  <c:v>2</c:v>
                </c:pt>
                <c:pt idx="16">
                  <c:v>14</c:v>
                </c:pt>
                <c:pt idx="17">
                  <c:v>2334</c:v>
                </c:pt>
                <c:pt idx="18">
                  <c:v>5</c:v>
                </c:pt>
                <c:pt idx="19">
                  <c:v>0</c:v>
                </c:pt>
                <c:pt idx="20">
                  <c:v>1411</c:v>
                </c:pt>
                <c:pt idx="21">
                  <c:v>669</c:v>
                </c:pt>
                <c:pt idx="22">
                  <c:v>49</c:v>
                </c:pt>
                <c:pt idx="23">
                  <c:v>0</c:v>
                </c:pt>
                <c:pt idx="24">
                  <c:v>46</c:v>
                </c:pt>
                <c:pt idx="25">
                  <c:v>48</c:v>
                </c:pt>
                <c:pt idx="26">
                  <c:v>0</c:v>
                </c:pt>
                <c:pt idx="27">
                  <c:v>0</c:v>
                </c:pt>
                <c:pt idx="28">
                  <c:v>119</c:v>
                </c:pt>
                <c:pt idx="29">
                  <c:v>26</c:v>
                </c:pt>
                <c:pt idx="30">
                  <c:v>57</c:v>
                </c:pt>
                <c:pt idx="31">
                  <c:v>30</c:v>
                </c:pt>
                <c:pt idx="32">
                  <c:v>144</c:v>
                </c:pt>
                <c:pt idx="33">
                  <c:v>0</c:v>
                </c:pt>
                <c:pt idx="34">
                  <c:v>0</c:v>
                </c:pt>
                <c:pt idx="35">
                  <c:v>21</c:v>
                </c:pt>
                <c:pt idx="36">
                  <c:v>12</c:v>
                </c:pt>
                <c:pt idx="37">
                  <c:v>32</c:v>
                </c:pt>
                <c:pt idx="38">
                  <c:v>11</c:v>
                </c:pt>
                <c:pt idx="39">
                  <c:v>1</c:v>
                </c:pt>
                <c:pt idx="40">
                  <c:v>1</c:v>
                </c:pt>
                <c:pt idx="41">
                  <c:v>30</c:v>
                </c:pt>
                <c:pt idx="42">
                  <c:v>4</c:v>
                </c:pt>
                <c:pt idx="43">
                  <c:v>2</c:v>
                </c:pt>
                <c:pt idx="44">
                  <c:v>0</c:v>
                </c:pt>
                <c:pt idx="45">
                  <c:v>43</c:v>
                </c:pt>
                <c:pt idx="46">
                  <c:v>9</c:v>
                </c:pt>
                <c:pt idx="47">
                  <c:v>0</c:v>
                </c:pt>
                <c:pt idx="48">
                  <c:v>1</c:v>
                </c:pt>
                <c:pt idx="49">
                  <c:v>2</c:v>
                </c:pt>
                <c:pt idx="50">
                  <c:v>6</c:v>
                </c:pt>
                <c:pt idx="51">
                  <c:v>32</c:v>
                </c:pt>
                <c:pt idx="52">
                  <c:v>0</c:v>
                </c:pt>
                <c:pt idx="53">
                  <c:v>2</c:v>
                </c:pt>
                <c:pt idx="54">
                  <c:v>0</c:v>
                </c:pt>
                <c:pt idx="55">
                  <c:v>28</c:v>
                </c:pt>
                <c:pt idx="56">
                  <c:v>12</c:v>
                </c:pt>
                <c:pt idx="57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FC-BC4D-A8FA-D30B169C9C7C}"/>
            </c:ext>
          </c:extLst>
        </c:ser>
        <c:ser>
          <c:idx val="1"/>
          <c:order val="1"/>
          <c:tx>
            <c:strRef>
              <c:f>Visualization!$C$3</c:f>
              <c:strCache>
                <c:ptCount val="1"/>
                <c:pt idx="0">
                  <c:v>Sum of February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multiLvlStrRef>
              <c:f>Visualization!$A$4:$A$69</c:f>
              <c:multiLvlStrCache>
                <c:ptCount val="58"/>
                <c:lvl>
                  <c:pt idx="0">
                    <c:v>Brucellosis</c:v>
                  </c:pt>
                  <c:pt idx="1">
                    <c:v>Hemorrhagic fevers</c:v>
                  </c:pt>
                  <c:pt idx="2">
                    <c:v>Lyme disease</c:v>
                  </c:pt>
                  <c:pt idx="3">
                    <c:v>Q fever</c:v>
                  </c:pt>
                  <c:pt idx="4">
                    <c:v>Rabies</c:v>
                  </c:pt>
                  <c:pt idx="5">
                    <c:v>Tularemia</c:v>
                  </c:pt>
                  <c:pt idx="6">
                    <c:v>West Nile Virus</c:v>
                  </c:pt>
                  <c:pt idx="7">
                    <c:v>Anaplasmosis</c:v>
                  </c:pt>
                  <c:pt idx="8">
                    <c:v>Acute flaccid paralysis</c:v>
                  </c:pt>
                  <c:pt idx="9">
                    <c:v>Adverse vaccine reactions</c:v>
                  </c:pt>
                  <c:pt idx="10">
                    <c:v>Chickenpox</c:v>
                  </c:pt>
                  <c:pt idx="11">
                    <c:v>Diphtheria</c:v>
                  </c:pt>
                  <c:pt idx="12">
                    <c:v>Haemophilus influenzae, invasive</c:v>
                  </c:pt>
                  <c:pt idx="13">
                    <c:v>Influenza</c:v>
                  </c:pt>
                  <c:pt idx="14">
                    <c:v>Measles</c:v>
                  </c:pt>
                  <c:pt idx="15">
                    <c:v>Mumps</c:v>
                  </c:pt>
                  <c:pt idx="16">
                    <c:v>Pertussis</c:v>
                  </c:pt>
                  <c:pt idx="17">
                    <c:v>COVID-19</c:v>
                  </c:pt>
                  <c:pt idx="18">
                    <c:v>Mpox</c:v>
                  </c:pt>
                  <c:pt idx="19">
                    <c:v>AIDS</c:v>
                  </c:pt>
                  <c:pt idx="20">
                    <c:v>Chlamydia</c:v>
                  </c:pt>
                  <c:pt idx="21">
                    <c:v>Gonorrhea</c:v>
                  </c:pt>
                  <c:pt idx="22">
                    <c:v>Hepatitis B - carriers</c:v>
                  </c:pt>
                  <c:pt idx="23">
                    <c:v>Hepatitis B - cases</c:v>
                  </c:pt>
                  <c:pt idx="24">
                    <c:v>Hepatitis C</c:v>
                  </c:pt>
                  <c:pt idx="25">
                    <c:v>HIV </c:v>
                  </c:pt>
                  <c:pt idx="26">
                    <c:v>Ophthalmia neonatorum</c:v>
                  </c:pt>
                  <c:pt idx="27">
                    <c:v>Syphilis, early congenital</c:v>
                  </c:pt>
                  <c:pt idx="28">
                    <c:v>Syphilis, infectious</c:v>
                  </c:pt>
                  <c:pt idx="29">
                    <c:v>Hepatitis B - unclassified</c:v>
                  </c:pt>
                  <c:pt idx="30">
                    <c:v>Syphilis, other</c:v>
                  </c:pt>
                  <c:pt idx="31">
                    <c:v>Gastroenteritis</c:v>
                  </c:pt>
                  <c:pt idx="32">
                    <c:v>Respiratory Infection</c:v>
                  </c:pt>
                  <c:pt idx="33">
                    <c:v>Other</c:v>
                  </c:pt>
                  <c:pt idx="34">
                    <c:v>Blastomycosis</c:v>
                  </c:pt>
                  <c:pt idx="35">
                    <c:v>Carbapenamase-producing Enterobacteriaceae</c:v>
                  </c:pt>
                  <c:pt idx="36">
                    <c:v>Amebiasis</c:v>
                  </c:pt>
                  <c:pt idx="37">
                    <c:v>Campylobacter enteritis</c:v>
                  </c:pt>
                  <c:pt idx="38">
                    <c:v>Cryptosporidiosis</c:v>
                  </c:pt>
                  <c:pt idx="39">
                    <c:v>Cyclosporiasis</c:v>
                  </c:pt>
                  <c:pt idx="40">
                    <c:v>Food poisoning</c:v>
                  </c:pt>
                  <c:pt idx="41">
                    <c:v>Giardiasis</c:v>
                  </c:pt>
                  <c:pt idx="42">
                    <c:v>Hepatitis A</c:v>
                  </c:pt>
                  <c:pt idx="43">
                    <c:v>Listeriosis</c:v>
                  </c:pt>
                  <c:pt idx="44">
                    <c:v>Paratyphoid fever</c:v>
                  </c:pt>
                  <c:pt idx="45">
                    <c:v>Salmonellosis</c:v>
                  </c:pt>
                  <c:pt idx="46">
                    <c:v>Shigellosis</c:v>
                  </c:pt>
                  <c:pt idx="47">
                    <c:v>Trichinosis</c:v>
                  </c:pt>
                  <c:pt idx="48">
                    <c:v>Typhoid fever</c:v>
                  </c:pt>
                  <c:pt idx="49">
                    <c:v>Verotoxin-producing E. coli infection</c:v>
                  </c:pt>
                  <c:pt idx="50">
                    <c:v>Yersiniosis</c:v>
                  </c:pt>
                  <c:pt idx="51">
                    <c:v>Group A Streptococcal disease, invasive</c:v>
                  </c:pt>
                  <c:pt idx="52">
                    <c:v>Group B Streptococcal disease, neonatal</c:v>
                  </c:pt>
                  <c:pt idx="53">
                    <c:v>Legionellosis</c:v>
                  </c:pt>
                  <c:pt idx="54">
                    <c:v>Meningococcal disease, invasive</c:v>
                  </c:pt>
                  <c:pt idx="55">
                    <c:v>Pneumococcal disease, invasive</c:v>
                  </c:pt>
                  <c:pt idx="56">
                    <c:v>TB: Atypical mycobacterial infections</c:v>
                  </c:pt>
                  <c:pt idx="57">
                    <c:v>Tuberculosis</c:v>
                  </c:pt>
                </c:lvl>
                <c:lvl>
                  <c:pt idx="0">
                    <c:v>Vectorborne and Zoonotics</c:v>
                  </c:pt>
                  <c:pt idx="8">
                    <c:v>Vaccine Preventable </c:v>
                  </c:pt>
                  <c:pt idx="19">
                    <c:v>Sexually Transmitted and Bloodborne</c:v>
                  </c:pt>
                  <c:pt idx="31">
                    <c:v>Outbreaks</c:v>
                  </c:pt>
                  <c:pt idx="34">
                    <c:v>Other</c:v>
                  </c:pt>
                  <c:pt idx="36">
                    <c:v>Enteric, Food and Waterborne</c:v>
                  </c:pt>
                  <c:pt idx="51">
                    <c:v>Direct Contact and Respiratory</c:v>
                  </c:pt>
                </c:lvl>
              </c:multiLvlStrCache>
            </c:multiLvlStrRef>
          </c:cat>
          <c:val>
            <c:numRef>
              <c:f>Visualization!$C$4:$C$69</c:f>
              <c:numCache>
                <c:formatCode>General</c:formatCode>
                <c:ptCount val="58"/>
                <c:pt idx="0">
                  <c:v>0</c:v>
                </c:pt>
                <c:pt idx="1">
                  <c:v>0</c:v>
                </c:pt>
                <c:pt idx="2">
                  <c:v>4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18</c:v>
                </c:pt>
                <c:pt idx="11">
                  <c:v>0</c:v>
                </c:pt>
                <c:pt idx="12">
                  <c:v>3</c:v>
                </c:pt>
                <c:pt idx="13">
                  <c:v>747</c:v>
                </c:pt>
                <c:pt idx="14">
                  <c:v>1</c:v>
                </c:pt>
                <c:pt idx="15">
                  <c:v>2</c:v>
                </c:pt>
                <c:pt idx="16">
                  <c:v>0</c:v>
                </c:pt>
                <c:pt idx="17">
                  <c:v>672</c:v>
                </c:pt>
                <c:pt idx="18">
                  <c:v>15</c:v>
                </c:pt>
                <c:pt idx="19">
                  <c:v>2</c:v>
                </c:pt>
                <c:pt idx="20">
                  <c:v>1239</c:v>
                </c:pt>
                <c:pt idx="21">
                  <c:v>556</c:v>
                </c:pt>
                <c:pt idx="22">
                  <c:v>53</c:v>
                </c:pt>
                <c:pt idx="23">
                  <c:v>1</c:v>
                </c:pt>
                <c:pt idx="24">
                  <c:v>45</c:v>
                </c:pt>
                <c:pt idx="25">
                  <c:v>37</c:v>
                </c:pt>
                <c:pt idx="26">
                  <c:v>0</c:v>
                </c:pt>
                <c:pt idx="27">
                  <c:v>0</c:v>
                </c:pt>
                <c:pt idx="28">
                  <c:v>113</c:v>
                </c:pt>
                <c:pt idx="29">
                  <c:v>25</c:v>
                </c:pt>
                <c:pt idx="30">
                  <c:v>72</c:v>
                </c:pt>
                <c:pt idx="31">
                  <c:v>29</c:v>
                </c:pt>
                <c:pt idx="32">
                  <c:v>60</c:v>
                </c:pt>
                <c:pt idx="33">
                  <c:v>0</c:v>
                </c:pt>
                <c:pt idx="34">
                  <c:v>0</c:v>
                </c:pt>
                <c:pt idx="35">
                  <c:v>29</c:v>
                </c:pt>
                <c:pt idx="36">
                  <c:v>13</c:v>
                </c:pt>
                <c:pt idx="37">
                  <c:v>30</c:v>
                </c:pt>
                <c:pt idx="38">
                  <c:v>17</c:v>
                </c:pt>
                <c:pt idx="39">
                  <c:v>0</c:v>
                </c:pt>
                <c:pt idx="40">
                  <c:v>0</c:v>
                </c:pt>
                <c:pt idx="41">
                  <c:v>28</c:v>
                </c:pt>
                <c:pt idx="42">
                  <c:v>4</c:v>
                </c:pt>
                <c:pt idx="43">
                  <c:v>1</c:v>
                </c:pt>
                <c:pt idx="44">
                  <c:v>4</c:v>
                </c:pt>
                <c:pt idx="45">
                  <c:v>45</c:v>
                </c:pt>
                <c:pt idx="46">
                  <c:v>10</c:v>
                </c:pt>
                <c:pt idx="47">
                  <c:v>0</c:v>
                </c:pt>
                <c:pt idx="48">
                  <c:v>4</c:v>
                </c:pt>
                <c:pt idx="49">
                  <c:v>2</c:v>
                </c:pt>
                <c:pt idx="50">
                  <c:v>12</c:v>
                </c:pt>
                <c:pt idx="51">
                  <c:v>40</c:v>
                </c:pt>
                <c:pt idx="52">
                  <c:v>1</c:v>
                </c:pt>
                <c:pt idx="53">
                  <c:v>2</c:v>
                </c:pt>
                <c:pt idx="54">
                  <c:v>1</c:v>
                </c:pt>
                <c:pt idx="55">
                  <c:v>39</c:v>
                </c:pt>
                <c:pt idx="56">
                  <c:v>2</c:v>
                </c:pt>
                <c:pt idx="57">
                  <c:v>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7FC-BC4D-A8FA-D30B169C9C7C}"/>
            </c:ext>
          </c:extLst>
        </c:ser>
        <c:ser>
          <c:idx val="2"/>
          <c:order val="2"/>
          <c:tx>
            <c:strRef>
              <c:f>Visualization!$D$3</c:f>
              <c:strCache>
                <c:ptCount val="1"/>
                <c:pt idx="0">
                  <c:v>Sum of March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Visualization!$A$4:$A$69</c:f>
              <c:multiLvlStrCache>
                <c:ptCount val="58"/>
                <c:lvl>
                  <c:pt idx="0">
                    <c:v>Brucellosis</c:v>
                  </c:pt>
                  <c:pt idx="1">
                    <c:v>Hemorrhagic fevers</c:v>
                  </c:pt>
                  <c:pt idx="2">
                    <c:v>Lyme disease</c:v>
                  </c:pt>
                  <c:pt idx="3">
                    <c:v>Q fever</c:v>
                  </c:pt>
                  <c:pt idx="4">
                    <c:v>Rabies</c:v>
                  </c:pt>
                  <c:pt idx="5">
                    <c:v>Tularemia</c:v>
                  </c:pt>
                  <c:pt idx="6">
                    <c:v>West Nile Virus</c:v>
                  </c:pt>
                  <c:pt idx="7">
                    <c:v>Anaplasmosis</c:v>
                  </c:pt>
                  <c:pt idx="8">
                    <c:v>Acute flaccid paralysis</c:v>
                  </c:pt>
                  <c:pt idx="9">
                    <c:v>Adverse vaccine reactions</c:v>
                  </c:pt>
                  <c:pt idx="10">
                    <c:v>Chickenpox</c:v>
                  </c:pt>
                  <c:pt idx="11">
                    <c:v>Diphtheria</c:v>
                  </c:pt>
                  <c:pt idx="12">
                    <c:v>Haemophilus influenzae, invasive</c:v>
                  </c:pt>
                  <c:pt idx="13">
                    <c:v>Influenza</c:v>
                  </c:pt>
                  <c:pt idx="14">
                    <c:v>Measles</c:v>
                  </c:pt>
                  <c:pt idx="15">
                    <c:v>Mumps</c:v>
                  </c:pt>
                  <c:pt idx="16">
                    <c:v>Pertussis</c:v>
                  </c:pt>
                  <c:pt idx="17">
                    <c:v>COVID-19</c:v>
                  </c:pt>
                  <c:pt idx="18">
                    <c:v>Mpox</c:v>
                  </c:pt>
                  <c:pt idx="19">
                    <c:v>AIDS</c:v>
                  </c:pt>
                  <c:pt idx="20">
                    <c:v>Chlamydia</c:v>
                  </c:pt>
                  <c:pt idx="21">
                    <c:v>Gonorrhea</c:v>
                  </c:pt>
                  <c:pt idx="22">
                    <c:v>Hepatitis B - carriers</c:v>
                  </c:pt>
                  <c:pt idx="23">
                    <c:v>Hepatitis B - cases</c:v>
                  </c:pt>
                  <c:pt idx="24">
                    <c:v>Hepatitis C</c:v>
                  </c:pt>
                  <c:pt idx="25">
                    <c:v>HIV </c:v>
                  </c:pt>
                  <c:pt idx="26">
                    <c:v>Ophthalmia neonatorum</c:v>
                  </c:pt>
                  <c:pt idx="27">
                    <c:v>Syphilis, early congenital</c:v>
                  </c:pt>
                  <c:pt idx="28">
                    <c:v>Syphilis, infectious</c:v>
                  </c:pt>
                  <c:pt idx="29">
                    <c:v>Hepatitis B - unclassified</c:v>
                  </c:pt>
                  <c:pt idx="30">
                    <c:v>Syphilis, other</c:v>
                  </c:pt>
                  <c:pt idx="31">
                    <c:v>Gastroenteritis</c:v>
                  </c:pt>
                  <c:pt idx="32">
                    <c:v>Respiratory Infection</c:v>
                  </c:pt>
                  <c:pt idx="33">
                    <c:v>Other</c:v>
                  </c:pt>
                  <c:pt idx="34">
                    <c:v>Blastomycosis</c:v>
                  </c:pt>
                  <c:pt idx="35">
                    <c:v>Carbapenamase-producing Enterobacteriaceae</c:v>
                  </c:pt>
                  <c:pt idx="36">
                    <c:v>Amebiasis</c:v>
                  </c:pt>
                  <c:pt idx="37">
                    <c:v>Campylobacter enteritis</c:v>
                  </c:pt>
                  <c:pt idx="38">
                    <c:v>Cryptosporidiosis</c:v>
                  </c:pt>
                  <c:pt idx="39">
                    <c:v>Cyclosporiasis</c:v>
                  </c:pt>
                  <c:pt idx="40">
                    <c:v>Food poisoning</c:v>
                  </c:pt>
                  <c:pt idx="41">
                    <c:v>Giardiasis</c:v>
                  </c:pt>
                  <c:pt idx="42">
                    <c:v>Hepatitis A</c:v>
                  </c:pt>
                  <c:pt idx="43">
                    <c:v>Listeriosis</c:v>
                  </c:pt>
                  <c:pt idx="44">
                    <c:v>Paratyphoid fever</c:v>
                  </c:pt>
                  <c:pt idx="45">
                    <c:v>Salmonellosis</c:v>
                  </c:pt>
                  <c:pt idx="46">
                    <c:v>Shigellosis</c:v>
                  </c:pt>
                  <c:pt idx="47">
                    <c:v>Trichinosis</c:v>
                  </c:pt>
                  <c:pt idx="48">
                    <c:v>Typhoid fever</c:v>
                  </c:pt>
                  <c:pt idx="49">
                    <c:v>Verotoxin-producing E. coli infection</c:v>
                  </c:pt>
                  <c:pt idx="50">
                    <c:v>Yersiniosis</c:v>
                  </c:pt>
                  <c:pt idx="51">
                    <c:v>Group A Streptococcal disease, invasive</c:v>
                  </c:pt>
                  <c:pt idx="52">
                    <c:v>Group B Streptococcal disease, neonatal</c:v>
                  </c:pt>
                  <c:pt idx="53">
                    <c:v>Legionellosis</c:v>
                  </c:pt>
                  <c:pt idx="54">
                    <c:v>Meningococcal disease, invasive</c:v>
                  </c:pt>
                  <c:pt idx="55">
                    <c:v>Pneumococcal disease, invasive</c:v>
                  </c:pt>
                  <c:pt idx="56">
                    <c:v>TB: Atypical mycobacterial infections</c:v>
                  </c:pt>
                  <c:pt idx="57">
                    <c:v>Tuberculosis</c:v>
                  </c:pt>
                </c:lvl>
                <c:lvl>
                  <c:pt idx="0">
                    <c:v>Vectorborne and Zoonotics</c:v>
                  </c:pt>
                  <c:pt idx="8">
                    <c:v>Vaccine Preventable </c:v>
                  </c:pt>
                  <c:pt idx="19">
                    <c:v>Sexually Transmitted and Bloodborne</c:v>
                  </c:pt>
                  <c:pt idx="31">
                    <c:v>Outbreaks</c:v>
                  </c:pt>
                  <c:pt idx="34">
                    <c:v>Other</c:v>
                  </c:pt>
                  <c:pt idx="36">
                    <c:v>Enteric, Food and Waterborne</c:v>
                  </c:pt>
                  <c:pt idx="51">
                    <c:v>Direct Contact and Respiratory</c:v>
                  </c:pt>
                </c:lvl>
              </c:multiLvlStrCache>
            </c:multiLvlStrRef>
          </c:cat>
          <c:val>
            <c:numRef>
              <c:f>Visualization!$D$4:$D$69</c:f>
              <c:numCache>
                <c:formatCode>General</c:formatCode>
                <c:ptCount val="5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15</c:v>
                </c:pt>
                <c:pt idx="11">
                  <c:v>0</c:v>
                </c:pt>
                <c:pt idx="12">
                  <c:v>5</c:v>
                </c:pt>
                <c:pt idx="13">
                  <c:v>579</c:v>
                </c:pt>
                <c:pt idx="14">
                  <c:v>2</c:v>
                </c:pt>
                <c:pt idx="15">
                  <c:v>3</c:v>
                </c:pt>
                <c:pt idx="16">
                  <c:v>2</c:v>
                </c:pt>
                <c:pt idx="17">
                  <c:v>372</c:v>
                </c:pt>
                <c:pt idx="18">
                  <c:v>5</c:v>
                </c:pt>
                <c:pt idx="19">
                  <c:v>0</c:v>
                </c:pt>
                <c:pt idx="20">
                  <c:v>1153</c:v>
                </c:pt>
                <c:pt idx="21">
                  <c:v>495</c:v>
                </c:pt>
                <c:pt idx="22">
                  <c:v>58</c:v>
                </c:pt>
                <c:pt idx="23">
                  <c:v>3</c:v>
                </c:pt>
                <c:pt idx="24">
                  <c:v>52</c:v>
                </c:pt>
                <c:pt idx="25">
                  <c:v>53</c:v>
                </c:pt>
                <c:pt idx="26">
                  <c:v>1</c:v>
                </c:pt>
                <c:pt idx="27">
                  <c:v>2</c:v>
                </c:pt>
                <c:pt idx="28">
                  <c:v>108</c:v>
                </c:pt>
                <c:pt idx="29">
                  <c:v>33</c:v>
                </c:pt>
                <c:pt idx="30">
                  <c:v>74</c:v>
                </c:pt>
                <c:pt idx="31">
                  <c:v>26</c:v>
                </c:pt>
                <c:pt idx="32">
                  <c:v>51</c:v>
                </c:pt>
                <c:pt idx="33">
                  <c:v>0</c:v>
                </c:pt>
                <c:pt idx="34">
                  <c:v>0</c:v>
                </c:pt>
                <c:pt idx="35">
                  <c:v>18</c:v>
                </c:pt>
                <c:pt idx="36">
                  <c:v>8</c:v>
                </c:pt>
                <c:pt idx="37">
                  <c:v>27</c:v>
                </c:pt>
                <c:pt idx="38">
                  <c:v>7</c:v>
                </c:pt>
                <c:pt idx="39">
                  <c:v>2</c:v>
                </c:pt>
                <c:pt idx="40">
                  <c:v>0</c:v>
                </c:pt>
                <c:pt idx="41">
                  <c:v>15</c:v>
                </c:pt>
                <c:pt idx="42">
                  <c:v>4</c:v>
                </c:pt>
                <c:pt idx="43">
                  <c:v>1</c:v>
                </c:pt>
                <c:pt idx="44">
                  <c:v>2</c:v>
                </c:pt>
                <c:pt idx="45">
                  <c:v>30</c:v>
                </c:pt>
                <c:pt idx="46">
                  <c:v>9</c:v>
                </c:pt>
                <c:pt idx="47">
                  <c:v>0</c:v>
                </c:pt>
                <c:pt idx="48">
                  <c:v>1</c:v>
                </c:pt>
                <c:pt idx="49">
                  <c:v>2</c:v>
                </c:pt>
                <c:pt idx="50">
                  <c:v>5</c:v>
                </c:pt>
                <c:pt idx="51">
                  <c:v>37</c:v>
                </c:pt>
                <c:pt idx="52">
                  <c:v>0</c:v>
                </c:pt>
                <c:pt idx="53">
                  <c:v>1</c:v>
                </c:pt>
                <c:pt idx="54">
                  <c:v>3</c:v>
                </c:pt>
                <c:pt idx="55">
                  <c:v>29</c:v>
                </c:pt>
                <c:pt idx="56">
                  <c:v>1</c:v>
                </c:pt>
                <c:pt idx="57">
                  <c:v>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7FC-BC4D-A8FA-D30B169C9C7C}"/>
            </c:ext>
          </c:extLst>
        </c:ser>
        <c:ser>
          <c:idx val="3"/>
          <c:order val="3"/>
          <c:tx>
            <c:strRef>
              <c:f>Visualization!$E$3</c:f>
              <c:strCache>
                <c:ptCount val="1"/>
                <c:pt idx="0">
                  <c:v>Sum of April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Visualization!$A$4:$A$69</c:f>
              <c:multiLvlStrCache>
                <c:ptCount val="58"/>
                <c:lvl>
                  <c:pt idx="0">
                    <c:v>Brucellosis</c:v>
                  </c:pt>
                  <c:pt idx="1">
                    <c:v>Hemorrhagic fevers</c:v>
                  </c:pt>
                  <c:pt idx="2">
                    <c:v>Lyme disease</c:v>
                  </c:pt>
                  <c:pt idx="3">
                    <c:v>Q fever</c:v>
                  </c:pt>
                  <c:pt idx="4">
                    <c:v>Rabies</c:v>
                  </c:pt>
                  <c:pt idx="5">
                    <c:v>Tularemia</c:v>
                  </c:pt>
                  <c:pt idx="6">
                    <c:v>West Nile Virus</c:v>
                  </c:pt>
                  <c:pt idx="7">
                    <c:v>Anaplasmosis</c:v>
                  </c:pt>
                  <c:pt idx="8">
                    <c:v>Acute flaccid paralysis</c:v>
                  </c:pt>
                  <c:pt idx="9">
                    <c:v>Adverse vaccine reactions</c:v>
                  </c:pt>
                  <c:pt idx="10">
                    <c:v>Chickenpox</c:v>
                  </c:pt>
                  <c:pt idx="11">
                    <c:v>Diphtheria</c:v>
                  </c:pt>
                  <c:pt idx="12">
                    <c:v>Haemophilus influenzae, invasive</c:v>
                  </c:pt>
                  <c:pt idx="13">
                    <c:v>Influenza</c:v>
                  </c:pt>
                  <c:pt idx="14">
                    <c:v>Measles</c:v>
                  </c:pt>
                  <c:pt idx="15">
                    <c:v>Mumps</c:v>
                  </c:pt>
                  <c:pt idx="16">
                    <c:v>Pertussis</c:v>
                  </c:pt>
                  <c:pt idx="17">
                    <c:v>COVID-19</c:v>
                  </c:pt>
                  <c:pt idx="18">
                    <c:v>Mpox</c:v>
                  </c:pt>
                  <c:pt idx="19">
                    <c:v>AIDS</c:v>
                  </c:pt>
                  <c:pt idx="20">
                    <c:v>Chlamydia</c:v>
                  </c:pt>
                  <c:pt idx="21">
                    <c:v>Gonorrhea</c:v>
                  </c:pt>
                  <c:pt idx="22">
                    <c:v>Hepatitis B - carriers</c:v>
                  </c:pt>
                  <c:pt idx="23">
                    <c:v>Hepatitis B - cases</c:v>
                  </c:pt>
                  <c:pt idx="24">
                    <c:v>Hepatitis C</c:v>
                  </c:pt>
                  <c:pt idx="25">
                    <c:v>HIV </c:v>
                  </c:pt>
                  <c:pt idx="26">
                    <c:v>Ophthalmia neonatorum</c:v>
                  </c:pt>
                  <c:pt idx="27">
                    <c:v>Syphilis, early congenital</c:v>
                  </c:pt>
                  <c:pt idx="28">
                    <c:v>Syphilis, infectious</c:v>
                  </c:pt>
                  <c:pt idx="29">
                    <c:v>Hepatitis B - unclassified</c:v>
                  </c:pt>
                  <c:pt idx="30">
                    <c:v>Syphilis, other</c:v>
                  </c:pt>
                  <c:pt idx="31">
                    <c:v>Gastroenteritis</c:v>
                  </c:pt>
                  <c:pt idx="32">
                    <c:v>Respiratory Infection</c:v>
                  </c:pt>
                  <c:pt idx="33">
                    <c:v>Other</c:v>
                  </c:pt>
                  <c:pt idx="34">
                    <c:v>Blastomycosis</c:v>
                  </c:pt>
                  <c:pt idx="35">
                    <c:v>Carbapenamase-producing Enterobacteriaceae</c:v>
                  </c:pt>
                  <c:pt idx="36">
                    <c:v>Amebiasis</c:v>
                  </c:pt>
                  <c:pt idx="37">
                    <c:v>Campylobacter enteritis</c:v>
                  </c:pt>
                  <c:pt idx="38">
                    <c:v>Cryptosporidiosis</c:v>
                  </c:pt>
                  <c:pt idx="39">
                    <c:v>Cyclosporiasis</c:v>
                  </c:pt>
                  <c:pt idx="40">
                    <c:v>Food poisoning</c:v>
                  </c:pt>
                  <c:pt idx="41">
                    <c:v>Giardiasis</c:v>
                  </c:pt>
                  <c:pt idx="42">
                    <c:v>Hepatitis A</c:v>
                  </c:pt>
                  <c:pt idx="43">
                    <c:v>Listeriosis</c:v>
                  </c:pt>
                  <c:pt idx="44">
                    <c:v>Paratyphoid fever</c:v>
                  </c:pt>
                  <c:pt idx="45">
                    <c:v>Salmonellosis</c:v>
                  </c:pt>
                  <c:pt idx="46">
                    <c:v>Shigellosis</c:v>
                  </c:pt>
                  <c:pt idx="47">
                    <c:v>Trichinosis</c:v>
                  </c:pt>
                  <c:pt idx="48">
                    <c:v>Typhoid fever</c:v>
                  </c:pt>
                  <c:pt idx="49">
                    <c:v>Verotoxin-producing E. coli infection</c:v>
                  </c:pt>
                  <c:pt idx="50">
                    <c:v>Yersiniosis</c:v>
                  </c:pt>
                  <c:pt idx="51">
                    <c:v>Group A Streptococcal disease, invasive</c:v>
                  </c:pt>
                  <c:pt idx="52">
                    <c:v>Group B Streptococcal disease, neonatal</c:v>
                  </c:pt>
                  <c:pt idx="53">
                    <c:v>Legionellosis</c:v>
                  </c:pt>
                  <c:pt idx="54">
                    <c:v>Meningococcal disease, invasive</c:v>
                  </c:pt>
                  <c:pt idx="55">
                    <c:v>Pneumococcal disease, invasive</c:v>
                  </c:pt>
                  <c:pt idx="56">
                    <c:v>TB: Atypical mycobacterial infections</c:v>
                  </c:pt>
                  <c:pt idx="57">
                    <c:v>Tuberculosis</c:v>
                  </c:pt>
                </c:lvl>
                <c:lvl>
                  <c:pt idx="0">
                    <c:v>Vectorborne and Zoonotics</c:v>
                  </c:pt>
                  <c:pt idx="8">
                    <c:v>Vaccine Preventable </c:v>
                  </c:pt>
                  <c:pt idx="19">
                    <c:v>Sexually Transmitted and Bloodborne</c:v>
                  </c:pt>
                  <c:pt idx="31">
                    <c:v>Outbreaks</c:v>
                  </c:pt>
                  <c:pt idx="34">
                    <c:v>Other</c:v>
                  </c:pt>
                  <c:pt idx="36">
                    <c:v>Enteric, Food and Waterborne</c:v>
                  </c:pt>
                  <c:pt idx="51">
                    <c:v>Direct Contact and Respiratory</c:v>
                  </c:pt>
                </c:lvl>
              </c:multiLvlStrCache>
            </c:multiLvlStrRef>
          </c:cat>
          <c:val>
            <c:numRef>
              <c:f>Visualization!$E$4:$E$69</c:f>
              <c:numCache>
                <c:formatCode>General</c:formatCode>
                <c:ptCount val="58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47</c:v>
                </c:pt>
                <c:pt idx="11">
                  <c:v>0</c:v>
                </c:pt>
                <c:pt idx="12">
                  <c:v>3</c:v>
                </c:pt>
                <c:pt idx="13">
                  <c:v>351</c:v>
                </c:pt>
                <c:pt idx="14">
                  <c:v>3</c:v>
                </c:pt>
                <c:pt idx="15">
                  <c:v>2</c:v>
                </c:pt>
                <c:pt idx="16">
                  <c:v>9</c:v>
                </c:pt>
                <c:pt idx="17">
                  <c:v>452</c:v>
                </c:pt>
                <c:pt idx="18">
                  <c:v>7</c:v>
                </c:pt>
                <c:pt idx="19">
                  <c:v>1</c:v>
                </c:pt>
                <c:pt idx="20">
                  <c:v>1204</c:v>
                </c:pt>
                <c:pt idx="21">
                  <c:v>542</c:v>
                </c:pt>
                <c:pt idx="22">
                  <c:v>44</c:v>
                </c:pt>
                <c:pt idx="23">
                  <c:v>1</c:v>
                </c:pt>
                <c:pt idx="24">
                  <c:v>41</c:v>
                </c:pt>
                <c:pt idx="25">
                  <c:v>46</c:v>
                </c:pt>
                <c:pt idx="26">
                  <c:v>0</c:v>
                </c:pt>
                <c:pt idx="27">
                  <c:v>0</c:v>
                </c:pt>
                <c:pt idx="28">
                  <c:v>104</c:v>
                </c:pt>
                <c:pt idx="29">
                  <c:v>36</c:v>
                </c:pt>
                <c:pt idx="30">
                  <c:v>61</c:v>
                </c:pt>
                <c:pt idx="31">
                  <c:v>23</c:v>
                </c:pt>
                <c:pt idx="32">
                  <c:v>70</c:v>
                </c:pt>
                <c:pt idx="33">
                  <c:v>0</c:v>
                </c:pt>
                <c:pt idx="34">
                  <c:v>1</c:v>
                </c:pt>
                <c:pt idx="35">
                  <c:v>34</c:v>
                </c:pt>
                <c:pt idx="36">
                  <c:v>6</c:v>
                </c:pt>
                <c:pt idx="37">
                  <c:v>20</c:v>
                </c:pt>
                <c:pt idx="38">
                  <c:v>10</c:v>
                </c:pt>
                <c:pt idx="39">
                  <c:v>1</c:v>
                </c:pt>
                <c:pt idx="40">
                  <c:v>13</c:v>
                </c:pt>
                <c:pt idx="41">
                  <c:v>25</c:v>
                </c:pt>
                <c:pt idx="42">
                  <c:v>3</c:v>
                </c:pt>
                <c:pt idx="43">
                  <c:v>4</c:v>
                </c:pt>
                <c:pt idx="44">
                  <c:v>2</c:v>
                </c:pt>
                <c:pt idx="45">
                  <c:v>47</c:v>
                </c:pt>
                <c:pt idx="46">
                  <c:v>6</c:v>
                </c:pt>
                <c:pt idx="47">
                  <c:v>1</c:v>
                </c:pt>
                <c:pt idx="48">
                  <c:v>3</c:v>
                </c:pt>
                <c:pt idx="49">
                  <c:v>2</c:v>
                </c:pt>
                <c:pt idx="50">
                  <c:v>8</c:v>
                </c:pt>
                <c:pt idx="51">
                  <c:v>33</c:v>
                </c:pt>
                <c:pt idx="52">
                  <c:v>1</c:v>
                </c:pt>
                <c:pt idx="53">
                  <c:v>2</c:v>
                </c:pt>
                <c:pt idx="54">
                  <c:v>5</c:v>
                </c:pt>
                <c:pt idx="55">
                  <c:v>30</c:v>
                </c:pt>
                <c:pt idx="56">
                  <c:v>3</c:v>
                </c:pt>
                <c:pt idx="57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7FC-BC4D-A8FA-D30B169C9C7C}"/>
            </c:ext>
          </c:extLst>
        </c:ser>
        <c:ser>
          <c:idx val="4"/>
          <c:order val="4"/>
          <c:tx>
            <c:strRef>
              <c:f>Visualization!$F$3</c:f>
              <c:strCache>
                <c:ptCount val="1"/>
                <c:pt idx="0">
                  <c:v>Sum of May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Visualization!$A$4:$A$69</c:f>
              <c:multiLvlStrCache>
                <c:ptCount val="58"/>
                <c:lvl>
                  <c:pt idx="0">
                    <c:v>Brucellosis</c:v>
                  </c:pt>
                  <c:pt idx="1">
                    <c:v>Hemorrhagic fevers</c:v>
                  </c:pt>
                  <c:pt idx="2">
                    <c:v>Lyme disease</c:v>
                  </c:pt>
                  <c:pt idx="3">
                    <c:v>Q fever</c:v>
                  </c:pt>
                  <c:pt idx="4">
                    <c:v>Rabies</c:v>
                  </c:pt>
                  <c:pt idx="5">
                    <c:v>Tularemia</c:v>
                  </c:pt>
                  <c:pt idx="6">
                    <c:v>West Nile Virus</c:v>
                  </c:pt>
                  <c:pt idx="7">
                    <c:v>Anaplasmosis</c:v>
                  </c:pt>
                  <c:pt idx="8">
                    <c:v>Acute flaccid paralysis</c:v>
                  </c:pt>
                  <c:pt idx="9">
                    <c:v>Adverse vaccine reactions</c:v>
                  </c:pt>
                  <c:pt idx="10">
                    <c:v>Chickenpox</c:v>
                  </c:pt>
                  <c:pt idx="11">
                    <c:v>Diphtheria</c:v>
                  </c:pt>
                  <c:pt idx="12">
                    <c:v>Haemophilus influenzae, invasive</c:v>
                  </c:pt>
                  <c:pt idx="13">
                    <c:v>Influenza</c:v>
                  </c:pt>
                  <c:pt idx="14">
                    <c:v>Measles</c:v>
                  </c:pt>
                  <c:pt idx="15">
                    <c:v>Mumps</c:v>
                  </c:pt>
                  <c:pt idx="16">
                    <c:v>Pertussis</c:v>
                  </c:pt>
                  <c:pt idx="17">
                    <c:v>COVID-19</c:v>
                  </c:pt>
                  <c:pt idx="18">
                    <c:v>Mpox</c:v>
                  </c:pt>
                  <c:pt idx="19">
                    <c:v>AIDS</c:v>
                  </c:pt>
                  <c:pt idx="20">
                    <c:v>Chlamydia</c:v>
                  </c:pt>
                  <c:pt idx="21">
                    <c:v>Gonorrhea</c:v>
                  </c:pt>
                  <c:pt idx="22">
                    <c:v>Hepatitis B - carriers</c:v>
                  </c:pt>
                  <c:pt idx="23">
                    <c:v>Hepatitis B - cases</c:v>
                  </c:pt>
                  <c:pt idx="24">
                    <c:v>Hepatitis C</c:v>
                  </c:pt>
                  <c:pt idx="25">
                    <c:v>HIV </c:v>
                  </c:pt>
                  <c:pt idx="26">
                    <c:v>Ophthalmia neonatorum</c:v>
                  </c:pt>
                  <c:pt idx="27">
                    <c:v>Syphilis, early congenital</c:v>
                  </c:pt>
                  <c:pt idx="28">
                    <c:v>Syphilis, infectious</c:v>
                  </c:pt>
                  <c:pt idx="29">
                    <c:v>Hepatitis B - unclassified</c:v>
                  </c:pt>
                  <c:pt idx="30">
                    <c:v>Syphilis, other</c:v>
                  </c:pt>
                  <c:pt idx="31">
                    <c:v>Gastroenteritis</c:v>
                  </c:pt>
                  <c:pt idx="32">
                    <c:v>Respiratory Infection</c:v>
                  </c:pt>
                  <c:pt idx="33">
                    <c:v>Other</c:v>
                  </c:pt>
                  <c:pt idx="34">
                    <c:v>Blastomycosis</c:v>
                  </c:pt>
                  <c:pt idx="35">
                    <c:v>Carbapenamase-producing Enterobacteriaceae</c:v>
                  </c:pt>
                  <c:pt idx="36">
                    <c:v>Amebiasis</c:v>
                  </c:pt>
                  <c:pt idx="37">
                    <c:v>Campylobacter enteritis</c:v>
                  </c:pt>
                  <c:pt idx="38">
                    <c:v>Cryptosporidiosis</c:v>
                  </c:pt>
                  <c:pt idx="39">
                    <c:v>Cyclosporiasis</c:v>
                  </c:pt>
                  <c:pt idx="40">
                    <c:v>Food poisoning</c:v>
                  </c:pt>
                  <c:pt idx="41">
                    <c:v>Giardiasis</c:v>
                  </c:pt>
                  <c:pt idx="42">
                    <c:v>Hepatitis A</c:v>
                  </c:pt>
                  <c:pt idx="43">
                    <c:v>Listeriosis</c:v>
                  </c:pt>
                  <c:pt idx="44">
                    <c:v>Paratyphoid fever</c:v>
                  </c:pt>
                  <c:pt idx="45">
                    <c:v>Salmonellosis</c:v>
                  </c:pt>
                  <c:pt idx="46">
                    <c:v>Shigellosis</c:v>
                  </c:pt>
                  <c:pt idx="47">
                    <c:v>Trichinosis</c:v>
                  </c:pt>
                  <c:pt idx="48">
                    <c:v>Typhoid fever</c:v>
                  </c:pt>
                  <c:pt idx="49">
                    <c:v>Verotoxin-producing E. coli infection</c:v>
                  </c:pt>
                  <c:pt idx="50">
                    <c:v>Yersiniosis</c:v>
                  </c:pt>
                  <c:pt idx="51">
                    <c:v>Group A Streptococcal disease, invasive</c:v>
                  </c:pt>
                  <c:pt idx="52">
                    <c:v>Group B Streptococcal disease, neonatal</c:v>
                  </c:pt>
                  <c:pt idx="53">
                    <c:v>Legionellosis</c:v>
                  </c:pt>
                  <c:pt idx="54">
                    <c:v>Meningococcal disease, invasive</c:v>
                  </c:pt>
                  <c:pt idx="55">
                    <c:v>Pneumococcal disease, invasive</c:v>
                  </c:pt>
                  <c:pt idx="56">
                    <c:v>TB: Atypical mycobacterial infections</c:v>
                  </c:pt>
                  <c:pt idx="57">
                    <c:v>Tuberculosis</c:v>
                  </c:pt>
                </c:lvl>
                <c:lvl>
                  <c:pt idx="0">
                    <c:v>Vectorborne and Zoonotics</c:v>
                  </c:pt>
                  <c:pt idx="8">
                    <c:v>Vaccine Preventable </c:v>
                  </c:pt>
                  <c:pt idx="19">
                    <c:v>Sexually Transmitted and Bloodborne</c:v>
                  </c:pt>
                  <c:pt idx="31">
                    <c:v>Outbreaks</c:v>
                  </c:pt>
                  <c:pt idx="34">
                    <c:v>Other</c:v>
                  </c:pt>
                  <c:pt idx="36">
                    <c:v>Enteric, Food and Waterborne</c:v>
                  </c:pt>
                  <c:pt idx="51">
                    <c:v>Direct Contact and Respiratory</c:v>
                  </c:pt>
                </c:lvl>
              </c:multiLvlStrCache>
            </c:multiLvlStrRef>
          </c:cat>
          <c:val>
            <c:numRef>
              <c:f>Visualization!$F$4:$F$69</c:f>
              <c:numCache>
                <c:formatCode>General</c:formatCode>
                <c:ptCount val="58"/>
                <c:pt idx="0">
                  <c:v>0</c:v>
                </c:pt>
                <c:pt idx="1">
                  <c:v>0</c:v>
                </c:pt>
                <c:pt idx="2">
                  <c:v>15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2</c:v>
                </c:pt>
                <c:pt idx="10">
                  <c:v>54</c:v>
                </c:pt>
                <c:pt idx="11">
                  <c:v>0</c:v>
                </c:pt>
                <c:pt idx="12">
                  <c:v>5</c:v>
                </c:pt>
                <c:pt idx="13">
                  <c:v>130</c:v>
                </c:pt>
                <c:pt idx="14">
                  <c:v>1</c:v>
                </c:pt>
                <c:pt idx="15">
                  <c:v>0</c:v>
                </c:pt>
                <c:pt idx="16">
                  <c:v>15</c:v>
                </c:pt>
                <c:pt idx="17">
                  <c:v>1032</c:v>
                </c:pt>
                <c:pt idx="18">
                  <c:v>11</c:v>
                </c:pt>
                <c:pt idx="19">
                  <c:v>0</c:v>
                </c:pt>
                <c:pt idx="20">
                  <c:v>1203</c:v>
                </c:pt>
                <c:pt idx="21">
                  <c:v>549</c:v>
                </c:pt>
                <c:pt idx="22">
                  <c:v>33</c:v>
                </c:pt>
                <c:pt idx="23">
                  <c:v>0</c:v>
                </c:pt>
                <c:pt idx="24">
                  <c:v>52</c:v>
                </c:pt>
                <c:pt idx="25">
                  <c:v>28</c:v>
                </c:pt>
                <c:pt idx="26">
                  <c:v>1</c:v>
                </c:pt>
                <c:pt idx="27">
                  <c:v>0</c:v>
                </c:pt>
                <c:pt idx="28">
                  <c:v>117</c:v>
                </c:pt>
                <c:pt idx="29">
                  <c:v>47</c:v>
                </c:pt>
                <c:pt idx="30">
                  <c:v>62</c:v>
                </c:pt>
                <c:pt idx="31">
                  <c:v>15</c:v>
                </c:pt>
                <c:pt idx="32">
                  <c:v>84</c:v>
                </c:pt>
                <c:pt idx="33">
                  <c:v>1</c:v>
                </c:pt>
                <c:pt idx="34">
                  <c:v>1</c:v>
                </c:pt>
                <c:pt idx="35">
                  <c:v>23</c:v>
                </c:pt>
                <c:pt idx="36">
                  <c:v>8</c:v>
                </c:pt>
                <c:pt idx="37">
                  <c:v>48</c:v>
                </c:pt>
                <c:pt idx="38">
                  <c:v>9</c:v>
                </c:pt>
                <c:pt idx="39">
                  <c:v>8</c:v>
                </c:pt>
                <c:pt idx="40">
                  <c:v>7</c:v>
                </c:pt>
                <c:pt idx="41">
                  <c:v>24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44</c:v>
                </c:pt>
                <c:pt idx="46">
                  <c:v>3</c:v>
                </c:pt>
                <c:pt idx="47">
                  <c:v>0</c:v>
                </c:pt>
                <c:pt idx="48">
                  <c:v>4</c:v>
                </c:pt>
                <c:pt idx="49">
                  <c:v>1</c:v>
                </c:pt>
                <c:pt idx="50">
                  <c:v>9</c:v>
                </c:pt>
                <c:pt idx="51">
                  <c:v>34</c:v>
                </c:pt>
                <c:pt idx="52">
                  <c:v>1</c:v>
                </c:pt>
                <c:pt idx="53">
                  <c:v>6</c:v>
                </c:pt>
                <c:pt idx="54">
                  <c:v>4</c:v>
                </c:pt>
                <c:pt idx="55">
                  <c:v>21</c:v>
                </c:pt>
                <c:pt idx="56">
                  <c:v>3</c:v>
                </c:pt>
                <c:pt idx="57">
                  <c:v>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7FC-BC4D-A8FA-D30B169C9C7C}"/>
            </c:ext>
          </c:extLst>
        </c:ser>
        <c:ser>
          <c:idx val="5"/>
          <c:order val="5"/>
          <c:tx>
            <c:strRef>
              <c:f>Visualization!$G$3</c:f>
              <c:strCache>
                <c:ptCount val="1"/>
                <c:pt idx="0">
                  <c:v>Sum of June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Visualization!$A$4:$A$69</c:f>
              <c:multiLvlStrCache>
                <c:ptCount val="58"/>
                <c:lvl>
                  <c:pt idx="0">
                    <c:v>Brucellosis</c:v>
                  </c:pt>
                  <c:pt idx="1">
                    <c:v>Hemorrhagic fevers</c:v>
                  </c:pt>
                  <c:pt idx="2">
                    <c:v>Lyme disease</c:v>
                  </c:pt>
                  <c:pt idx="3">
                    <c:v>Q fever</c:v>
                  </c:pt>
                  <c:pt idx="4">
                    <c:v>Rabies</c:v>
                  </c:pt>
                  <c:pt idx="5">
                    <c:v>Tularemia</c:v>
                  </c:pt>
                  <c:pt idx="6">
                    <c:v>West Nile Virus</c:v>
                  </c:pt>
                  <c:pt idx="7">
                    <c:v>Anaplasmosis</c:v>
                  </c:pt>
                  <c:pt idx="8">
                    <c:v>Acute flaccid paralysis</c:v>
                  </c:pt>
                  <c:pt idx="9">
                    <c:v>Adverse vaccine reactions</c:v>
                  </c:pt>
                  <c:pt idx="10">
                    <c:v>Chickenpox</c:v>
                  </c:pt>
                  <c:pt idx="11">
                    <c:v>Diphtheria</c:v>
                  </c:pt>
                  <c:pt idx="12">
                    <c:v>Haemophilus influenzae, invasive</c:v>
                  </c:pt>
                  <c:pt idx="13">
                    <c:v>Influenza</c:v>
                  </c:pt>
                  <c:pt idx="14">
                    <c:v>Measles</c:v>
                  </c:pt>
                  <c:pt idx="15">
                    <c:v>Mumps</c:v>
                  </c:pt>
                  <c:pt idx="16">
                    <c:v>Pertussis</c:v>
                  </c:pt>
                  <c:pt idx="17">
                    <c:v>COVID-19</c:v>
                  </c:pt>
                  <c:pt idx="18">
                    <c:v>Mpox</c:v>
                  </c:pt>
                  <c:pt idx="19">
                    <c:v>AIDS</c:v>
                  </c:pt>
                  <c:pt idx="20">
                    <c:v>Chlamydia</c:v>
                  </c:pt>
                  <c:pt idx="21">
                    <c:v>Gonorrhea</c:v>
                  </c:pt>
                  <c:pt idx="22">
                    <c:v>Hepatitis B - carriers</c:v>
                  </c:pt>
                  <c:pt idx="23">
                    <c:v>Hepatitis B - cases</c:v>
                  </c:pt>
                  <c:pt idx="24">
                    <c:v>Hepatitis C</c:v>
                  </c:pt>
                  <c:pt idx="25">
                    <c:v>HIV </c:v>
                  </c:pt>
                  <c:pt idx="26">
                    <c:v>Ophthalmia neonatorum</c:v>
                  </c:pt>
                  <c:pt idx="27">
                    <c:v>Syphilis, early congenital</c:v>
                  </c:pt>
                  <c:pt idx="28">
                    <c:v>Syphilis, infectious</c:v>
                  </c:pt>
                  <c:pt idx="29">
                    <c:v>Hepatitis B - unclassified</c:v>
                  </c:pt>
                  <c:pt idx="30">
                    <c:v>Syphilis, other</c:v>
                  </c:pt>
                  <c:pt idx="31">
                    <c:v>Gastroenteritis</c:v>
                  </c:pt>
                  <c:pt idx="32">
                    <c:v>Respiratory Infection</c:v>
                  </c:pt>
                  <c:pt idx="33">
                    <c:v>Other</c:v>
                  </c:pt>
                  <c:pt idx="34">
                    <c:v>Blastomycosis</c:v>
                  </c:pt>
                  <c:pt idx="35">
                    <c:v>Carbapenamase-producing Enterobacteriaceae</c:v>
                  </c:pt>
                  <c:pt idx="36">
                    <c:v>Amebiasis</c:v>
                  </c:pt>
                  <c:pt idx="37">
                    <c:v>Campylobacter enteritis</c:v>
                  </c:pt>
                  <c:pt idx="38">
                    <c:v>Cryptosporidiosis</c:v>
                  </c:pt>
                  <c:pt idx="39">
                    <c:v>Cyclosporiasis</c:v>
                  </c:pt>
                  <c:pt idx="40">
                    <c:v>Food poisoning</c:v>
                  </c:pt>
                  <c:pt idx="41">
                    <c:v>Giardiasis</c:v>
                  </c:pt>
                  <c:pt idx="42">
                    <c:v>Hepatitis A</c:v>
                  </c:pt>
                  <c:pt idx="43">
                    <c:v>Listeriosis</c:v>
                  </c:pt>
                  <c:pt idx="44">
                    <c:v>Paratyphoid fever</c:v>
                  </c:pt>
                  <c:pt idx="45">
                    <c:v>Salmonellosis</c:v>
                  </c:pt>
                  <c:pt idx="46">
                    <c:v>Shigellosis</c:v>
                  </c:pt>
                  <c:pt idx="47">
                    <c:v>Trichinosis</c:v>
                  </c:pt>
                  <c:pt idx="48">
                    <c:v>Typhoid fever</c:v>
                  </c:pt>
                  <c:pt idx="49">
                    <c:v>Verotoxin-producing E. coli infection</c:v>
                  </c:pt>
                  <c:pt idx="50">
                    <c:v>Yersiniosis</c:v>
                  </c:pt>
                  <c:pt idx="51">
                    <c:v>Group A Streptococcal disease, invasive</c:v>
                  </c:pt>
                  <c:pt idx="52">
                    <c:v>Group B Streptococcal disease, neonatal</c:v>
                  </c:pt>
                  <c:pt idx="53">
                    <c:v>Legionellosis</c:v>
                  </c:pt>
                  <c:pt idx="54">
                    <c:v>Meningococcal disease, invasive</c:v>
                  </c:pt>
                  <c:pt idx="55">
                    <c:v>Pneumococcal disease, invasive</c:v>
                  </c:pt>
                  <c:pt idx="56">
                    <c:v>TB: Atypical mycobacterial infections</c:v>
                  </c:pt>
                  <c:pt idx="57">
                    <c:v>Tuberculosis</c:v>
                  </c:pt>
                </c:lvl>
                <c:lvl>
                  <c:pt idx="0">
                    <c:v>Vectorborne and Zoonotics</c:v>
                  </c:pt>
                  <c:pt idx="8">
                    <c:v>Vaccine Preventable </c:v>
                  </c:pt>
                  <c:pt idx="19">
                    <c:v>Sexually Transmitted and Bloodborne</c:v>
                  </c:pt>
                  <c:pt idx="31">
                    <c:v>Outbreaks</c:v>
                  </c:pt>
                  <c:pt idx="34">
                    <c:v>Other</c:v>
                  </c:pt>
                  <c:pt idx="36">
                    <c:v>Enteric, Food and Waterborne</c:v>
                  </c:pt>
                  <c:pt idx="51">
                    <c:v>Direct Contact and Respiratory</c:v>
                  </c:pt>
                </c:lvl>
              </c:multiLvlStrCache>
            </c:multiLvlStrRef>
          </c:cat>
          <c:val>
            <c:numRef>
              <c:f>Visualization!$G$4:$G$69</c:f>
              <c:numCache>
                <c:formatCode>General</c:formatCode>
                <c:ptCount val="58"/>
                <c:pt idx="0">
                  <c:v>1</c:v>
                </c:pt>
                <c:pt idx="1">
                  <c:v>0</c:v>
                </c:pt>
                <c:pt idx="2">
                  <c:v>37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</c:v>
                </c:pt>
                <c:pt idx="8">
                  <c:v>0</c:v>
                </c:pt>
                <c:pt idx="9">
                  <c:v>9</c:v>
                </c:pt>
                <c:pt idx="10">
                  <c:v>33</c:v>
                </c:pt>
                <c:pt idx="11">
                  <c:v>0</c:v>
                </c:pt>
                <c:pt idx="12">
                  <c:v>3</c:v>
                </c:pt>
                <c:pt idx="13">
                  <c:v>37</c:v>
                </c:pt>
                <c:pt idx="14">
                  <c:v>1</c:v>
                </c:pt>
                <c:pt idx="15">
                  <c:v>0</c:v>
                </c:pt>
                <c:pt idx="16">
                  <c:v>24</c:v>
                </c:pt>
                <c:pt idx="17">
                  <c:v>8</c:v>
                </c:pt>
                <c:pt idx="18">
                  <c:v>22</c:v>
                </c:pt>
                <c:pt idx="19">
                  <c:v>1</c:v>
                </c:pt>
                <c:pt idx="20">
                  <c:v>1035</c:v>
                </c:pt>
                <c:pt idx="21">
                  <c:v>539</c:v>
                </c:pt>
                <c:pt idx="22">
                  <c:v>48</c:v>
                </c:pt>
                <c:pt idx="23">
                  <c:v>0</c:v>
                </c:pt>
                <c:pt idx="24">
                  <c:v>41</c:v>
                </c:pt>
                <c:pt idx="25">
                  <c:v>28</c:v>
                </c:pt>
                <c:pt idx="26">
                  <c:v>0</c:v>
                </c:pt>
                <c:pt idx="27">
                  <c:v>2</c:v>
                </c:pt>
                <c:pt idx="28">
                  <c:v>113</c:v>
                </c:pt>
                <c:pt idx="29">
                  <c:v>44</c:v>
                </c:pt>
                <c:pt idx="30">
                  <c:v>57</c:v>
                </c:pt>
                <c:pt idx="31">
                  <c:v>6</c:v>
                </c:pt>
                <c:pt idx="32">
                  <c:v>50</c:v>
                </c:pt>
                <c:pt idx="33">
                  <c:v>1</c:v>
                </c:pt>
                <c:pt idx="34">
                  <c:v>0</c:v>
                </c:pt>
                <c:pt idx="35">
                  <c:v>30</c:v>
                </c:pt>
                <c:pt idx="36">
                  <c:v>12</c:v>
                </c:pt>
                <c:pt idx="37">
                  <c:v>36</c:v>
                </c:pt>
                <c:pt idx="38">
                  <c:v>17</c:v>
                </c:pt>
                <c:pt idx="39">
                  <c:v>21</c:v>
                </c:pt>
                <c:pt idx="40">
                  <c:v>0</c:v>
                </c:pt>
                <c:pt idx="41">
                  <c:v>27</c:v>
                </c:pt>
                <c:pt idx="42">
                  <c:v>1</c:v>
                </c:pt>
                <c:pt idx="43">
                  <c:v>8</c:v>
                </c:pt>
                <c:pt idx="44">
                  <c:v>2</c:v>
                </c:pt>
                <c:pt idx="45">
                  <c:v>29</c:v>
                </c:pt>
                <c:pt idx="46">
                  <c:v>8</c:v>
                </c:pt>
                <c:pt idx="47">
                  <c:v>0</c:v>
                </c:pt>
                <c:pt idx="48">
                  <c:v>1</c:v>
                </c:pt>
                <c:pt idx="49">
                  <c:v>7</c:v>
                </c:pt>
                <c:pt idx="50">
                  <c:v>3</c:v>
                </c:pt>
                <c:pt idx="51">
                  <c:v>16</c:v>
                </c:pt>
                <c:pt idx="52">
                  <c:v>0</c:v>
                </c:pt>
                <c:pt idx="53">
                  <c:v>6</c:v>
                </c:pt>
                <c:pt idx="54">
                  <c:v>1</c:v>
                </c:pt>
                <c:pt idx="55">
                  <c:v>8</c:v>
                </c:pt>
                <c:pt idx="56">
                  <c:v>3</c:v>
                </c:pt>
                <c:pt idx="57">
                  <c:v>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7FC-BC4D-A8FA-D30B169C9C7C}"/>
            </c:ext>
          </c:extLst>
        </c:ser>
        <c:ser>
          <c:idx val="6"/>
          <c:order val="6"/>
          <c:tx>
            <c:strRef>
              <c:f>Visualization!$H$3</c:f>
              <c:strCache>
                <c:ptCount val="1"/>
                <c:pt idx="0">
                  <c:v>Sum of July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Visualization!$A$4:$A$69</c:f>
              <c:multiLvlStrCache>
                <c:ptCount val="58"/>
                <c:lvl>
                  <c:pt idx="0">
                    <c:v>Brucellosis</c:v>
                  </c:pt>
                  <c:pt idx="1">
                    <c:v>Hemorrhagic fevers</c:v>
                  </c:pt>
                  <c:pt idx="2">
                    <c:v>Lyme disease</c:v>
                  </c:pt>
                  <c:pt idx="3">
                    <c:v>Q fever</c:v>
                  </c:pt>
                  <c:pt idx="4">
                    <c:v>Rabies</c:v>
                  </c:pt>
                  <c:pt idx="5">
                    <c:v>Tularemia</c:v>
                  </c:pt>
                  <c:pt idx="6">
                    <c:v>West Nile Virus</c:v>
                  </c:pt>
                  <c:pt idx="7">
                    <c:v>Anaplasmosis</c:v>
                  </c:pt>
                  <c:pt idx="8">
                    <c:v>Acute flaccid paralysis</c:v>
                  </c:pt>
                  <c:pt idx="9">
                    <c:v>Adverse vaccine reactions</c:v>
                  </c:pt>
                  <c:pt idx="10">
                    <c:v>Chickenpox</c:v>
                  </c:pt>
                  <c:pt idx="11">
                    <c:v>Diphtheria</c:v>
                  </c:pt>
                  <c:pt idx="12">
                    <c:v>Haemophilus influenzae, invasive</c:v>
                  </c:pt>
                  <c:pt idx="13">
                    <c:v>Influenza</c:v>
                  </c:pt>
                  <c:pt idx="14">
                    <c:v>Measles</c:v>
                  </c:pt>
                  <c:pt idx="15">
                    <c:v>Mumps</c:v>
                  </c:pt>
                  <c:pt idx="16">
                    <c:v>Pertussis</c:v>
                  </c:pt>
                  <c:pt idx="17">
                    <c:v>COVID-19</c:v>
                  </c:pt>
                  <c:pt idx="18">
                    <c:v>Mpox</c:v>
                  </c:pt>
                  <c:pt idx="19">
                    <c:v>AIDS</c:v>
                  </c:pt>
                  <c:pt idx="20">
                    <c:v>Chlamydia</c:v>
                  </c:pt>
                  <c:pt idx="21">
                    <c:v>Gonorrhea</c:v>
                  </c:pt>
                  <c:pt idx="22">
                    <c:v>Hepatitis B - carriers</c:v>
                  </c:pt>
                  <c:pt idx="23">
                    <c:v>Hepatitis B - cases</c:v>
                  </c:pt>
                  <c:pt idx="24">
                    <c:v>Hepatitis C</c:v>
                  </c:pt>
                  <c:pt idx="25">
                    <c:v>HIV </c:v>
                  </c:pt>
                  <c:pt idx="26">
                    <c:v>Ophthalmia neonatorum</c:v>
                  </c:pt>
                  <c:pt idx="27">
                    <c:v>Syphilis, early congenital</c:v>
                  </c:pt>
                  <c:pt idx="28">
                    <c:v>Syphilis, infectious</c:v>
                  </c:pt>
                  <c:pt idx="29">
                    <c:v>Hepatitis B - unclassified</c:v>
                  </c:pt>
                  <c:pt idx="30">
                    <c:v>Syphilis, other</c:v>
                  </c:pt>
                  <c:pt idx="31">
                    <c:v>Gastroenteritis</c:v>
                  </c:pt>
                  <c:pt idx="32">
                    <c:v>Respiratory Infection</c:v>
                  </c:pt>
                  <c:pt idx="33">
                    <c:v>Other</c:v>
                  </c:pt>
                  <c:pt idx="34">
                    <c:v>Blastomycosis</c:v>
                  </c:pt>
                  <c:pt idx="35">
                    <c:v>Carbapenamase-producing Enterobacteriaceae</c:v>
                  </c:pt>
                  <c:pt idx="36">
                    <c:v>Amebiasis</c:v>
                  </c:pt>
                  <c:pt idx="37">
                    <c:v>Campylobacter enteritis</c:v>
                  </c:pt>
                  <c:pt idx="38">
                    <c:v>Cryptosporidiosis</c:v>
                  </c:pt>
                  <c:pt idx="39">
                    <c:v>Cyclosporiasis</c:v>
                  </c:pt>
                  <c:pt idx="40">
                    <c:v>Food poisoning</c:v>
                  </c:pt>
                  <c:pt idx="41">
                    <c:v>Giardiasis</c:v>
                  </c:pt>
                  <c:pt idx="42">
                    <c:v>Hepatitis A</c:v>
                  </c:pt>
                  <c:pt idx="43">
                    <c:v>Listeriosis</c:v>
                  </c:pt>
                  <c:pt idx="44">
                    <c:v>Paratyphoid fever</c:v>
                  </c:pt>
                  <c:pt idx="45">
                    <c:v>Salmonellosis</c:v>
                  </c:pt>
                  <c:pt idx="46">
                    <c:v>Shigellosis</c:v>
                  </c:pt>
                  <c:pt idx="47">
                    <c:v>Trichinosis</c:v>
                  </c:pt>
                  <c:pt idx="48">
                    <c:v>Typhoid fever</c:v>
                  </c:pt>
                  <c:pt idx="49">
                    <c:v>Verotoxin-producing E. coli infection</c:v>
                  </c:pt>
                  <c:pt idx="50">
                    <c:v>Yersiniosis</c:v>
                  </c:pt>
                  <c:pt idx="51">
                    <c:v>Group A Streptococcal disease, invasive</c:v>
                  </c:pt>
                  <c:pt idx="52">
                    <c:v>Group B Streptococcal disease, neonatal</c:v>
                  </c:pt>
                  <c:pt idx="53">
                    <c:v>Legionellosis</c:v>
                  </c:pt>
                  <c:pt idx="54">
                    <c:v>Meningococcal disease, invasive</c:v>
                  </c:pt>
                  <c:pt idx="55">
                    <c:v>Pneumococcal disease, invasive</c:v>
                  </c:pt>
                  <c:pt idx="56">
                    <c:v>TB: Atypical mycobacterial infections</c:v>
                  </c:pt>
                  <c:pt idx="57">
                    <c:v>Tuberculosis</c:v>
                  </c:pt>
                </c:lvl>
                <c:lvl>
                  <c:pt idx="0">
                    <c:v>Vectorborne and Zoonotics</c:v>
                  </c:pt>
                  <c:pt idx="8">
                    <c:v>Vaccine Preventable </c:v>
                  </c:pt>
                  <c:pt idx="19">
                    <c:v>Sexually Transmitted and Bloodborne</c:v>
                  </c:pt>
                  <c:pt idx="31">
                    <c:v>Outbreaks</c:v>
                  </c:pt>
                  <c:pt idx="34">
                    <c:v>Other</c:v>
                  </c:pt>
                  <c:pt idx="36">
                    <c:v>Enteric, Food and Waterborne</c:v>
                  </c:pt>
                  <c:pt idx="51">
                    <c:v>Direct Contact and Respiratory</c:v>
                  </c:pt>
                </c:lvl>
              </c:multiLvlStrCache>
            </c:multiLvlStrRef>
          </c:cat>
          <c:val>
            <c:numRef>
              <c:f>Visualization!$H$4:$H$69</c:f>
              <c:numCache>
                <c:formatCode>General</c:formatCode>
                <c:ptCount val="58"/>
                <c:pt idx="0">
                  <c:v>1</c:v>
                </c:pt>
                <c:pt idx="1">
                  <c:v>0</c:v>
                </c:pt>
                <c:pt idx="2">
                  <c:v>41</c:v>
                </c:pt>
                <c:pt idx="3">
                  <c:v>2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4</c:v>
                </c:pt>
                <c:pt idx="8">
                  <c:v>0</c:v>
                </c:pt>
                <c:pt idx="9">
                  <c:v>6</c:v>
                </c:pt>
                <c:pt idx="10">
                  <c:v>9</c:v>
                </c:pt>
                <c:pt idx="11">
                  <c:v>0</c:v>
                </c:pt>
                <c:pt idx="12">
                  <c:v>2</c:v>
                </c:pt>
                <c:pt idx="13">
                  <c:v>42</c:v>
                </c:pt>
                <c:pt idx="14">
                  <c:v>0</c:v>
                </c:pt>
                <c:pt idx="15">
                  <c:v>0</c:v>
                </c:pt>
                <c:pt idx="16">
                  <c:v>36</c:v>
                </c:pt>
                <c:pt idx="17">
                  <c:v>0</c:v>
                </c:pt>
                <c:pt idx="18">
                  <c:v>50</c:v>
                </c:pt>
                <c:pt idx="19">
                  <c:v>0</c:v>
                </c:pt>
                <c:pt idx="20">
                  <c:v>1153</c:v>
                </c:pt>
                <c:pt idx="21">
                  <c:v>697</c:v>
                </c:pt>
                <c:pt idx="22">
                  <c:v>41</c:v>
                </c:pt>
                <c:pt idx="23">
                  <c:v>1</c:v>
                </c:pt>
                <c:pt idx="24">
                  <c:v>30</c:v>
                </c:pt>
                <c:pt idx="25">
                  <c:v>43</c:v>
                </c:pt>
                <c:pt idx="26">
                  <c:v>0</c:v>
                </c:pt>
                <c:pt idx="27">
                  <c:v>0</c:v>
                </c:pt>
                <c:pt idx="28">
                  <c:v>90</c:v>
                </c:pt>
                <c:pt idx="29">
                  <c:v>40</c:v>
                </c:pt>
                <c:pt idx="30">
                  <c:v>50</c:v>
                </c:pt>
                <c:pt idx="31">
                  <c:v>8</c:v>
                </c:pt>
                <c:pt idx="32">
                  <c:v>63</c:v>
                </c:pt>
                <c:pt idx="33">
                  <c:v>1</c:v>
                </c:pt>
                <c:pt idx="34">
                  <c:v>0</c:v>
                </c:pt>
                <c:pt idx="35">
                  <c:v>40</c:v>
                </c:pt>
                <c:pt idx="36">
                  <c:v>6</c:v>
                </c:pt>
                <c:pt idx="37">
                  <c:v>59</c:v>
                </c:pt>
                <c:pt idx="38">
                  <c:v>35</c:v>
                </c:pt>
                <c:pt idx="39">
                  <c:v>60</c:v>
                </c:pt>
                <c:pt idx="40">
                  <c:v>0</c:v>
                </c:pt>
                <c:pt idx="41">
                  <c:v>30</c:v>
                </c:pt>
                <c:pt idx="42">
                  <c:v>2</c:v>
                </c:pt>
                <c:pt idx="43">
                  <c:v>9</c:v>
                </c:pt>
                <c:pt idx="44">
                  <c:v>1</c:v>
                </c:pt>
                <c:pt idx="45">
                  <c:v>44</c:v>
                </c:pt>
                <c:pt idx="46">
                  <c:v>10</c:v>
                </c:pt>
                <c:pt idx="47">
                  <c:v>0</c:v>
                </c:pt>
                <c:pt idx="48">
                  <c:v>2</c:v>
                </c:pt>
                <c:pt idx="49">
                  <c:v>5</c:v>
                </c:pt>
                <c:pt idx="50">
                  <c:v>6</c:v>
                </c:pt>
                <c:pt idx="51">
                  <c:v>14</c:v>
                </c:pt>
                <c:pt idx="52">
                  <c:v>0</c:v>
                </c:pt>
                <c:pt idx="53">
                  <c:v>11</c:v>
                </c:pt>
                <c:pt idx="54">
                  <c:v>0</c:v>
                </c:pt>
                <c:pt idx="55">
                  <c:v>17</c:v>
                </c:pt>
                <c:pt idx="56">
                  <c:v>7</c:v>
                </c:pt>
                <c:pt idx="57">
                  <c:v>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77FC-BC4D-A8FA-D30B169C9C7C}"/>
            </c:ext>
          </c:extLst>
        </c:ser>
        <c:ser>
          <c:idx val="7"/>
          <c:order val="7"/>
          <c:tx>
            <c:strRef>
              <c:f>Visualization!$I$3</c:f>
              <c:strCache>
                <c:ptCount val="1"/>
                <c:pt idx="0">
                  <c:v>Sum of August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Visualization!$A$4:$A$69</c:f>
              <c:multiLvlStrCache>
                <c:ptCount val="58"/>
                <c:lvl>
                  <c:pt idx="0">
                    <c:v>Brucellosis</c:v>
                  </c:pt>
                  <c:pt idx="1">
                    <c:v>Hemorrhagic fevers</c:v>
                  </c:pt>
                  <c:pt idx="2">
                    <c:v>Lyme disease</c:v>
                  </c:pt>
                  <c:pt idx="3">
                    <c:v>Q fever</c:v>
                  </c:pt>
                  <c:pt idx="4">
                    <c:v>Rabies</c:v>
                  </c:pt>
                  <c:pt idx="5">
                    <c:v>Tularemia</c:v>
                  </c:pt>
                  <c:pt idx="6">
                    <c:v>West Nile Virus</c:v>
                  </c:pt>
                  <c:pt idx="7">
                    <c:v>Anaplasmosis</c:v>
                  </c:pt>
                  <c:pt idx="8">
                    <c:v>Acute flaccid paralysis</c:v>
                  </c:pt>
                  <c:pt idx="9">
                    <c:v>Adverse vaccine reactions</c:v>
                  </c:pt>
                  <c:pt idx="10">
                    <c:v>Chickenpox</c:v>
                  </c:pt>
                  <c:pt idx="11">
                    <c:v>Diphtheria</c:v>
                  </c:pt>
                  <c:pt idx="12">
                    <c:v>Haemophilus influenzae, invasive</c:v>
                  </c:pt>
                  <c:pt idx="13">
                    <c:v>Influenza</c:v>
                  </c:pt>
                  <c:pt idx="14">
                    <c:v>Measles</c:v>
                  </c:pt>
                  <c:pt idx="15">
                    <c:v>Mumps</c:v>
                  </c:pt>
                  <c:pt idx="16">
                    <c:v>Pertussis</c:v>
                  </c:pt>
                  <c:pt idx="17">
                    <c:v>COVID-19</c:v>
                  </c:pt>
                  <c:pt idx="18">
                    <c:v>Mpox</c:v>
                  </c:pt>
                  <c:pt idx="19">
                    <c:v>AIDS</c:v>
                  </c:pt>
                  <c:pt idx="20">
                    <c:v>Chlamydia</c:v>
                  </c:pt>
                  <c:pt idx="21">
                    <c:v>Gonorrhea</c:v>
                  </c:pt>
                  <c:pt idx="22">
                    <c:v>Hepatitis B - carriers</c:v>
                  </c:pt>
                  <c:pt idx="23">
                    <c:v>Hepatitis B - cases</c:v>
                  </c:pt>
                  <c:pt idx="24">
                    <c:v>Hepatitis C</c:v>
                  </c:pt>
                  <c:pt idx="25">
                    <c:v>HIV </c:v>
                  </c:pt>
                  <c:pt idx="26">
                    <c:v>Ophthalmia neonatorum</c:v>
                  </c:pt>
                  <c:pt idx="27">
                    <c:v>Syphilis, early congenital</c:v>
                  </c:pt>
                  <c:pt idx="28">
                    <c:v>Syphilis, infectious</c:v>
                  </c:pt>
                  <c:pt idx="29">
                    <c:v>Hepatitis B - unclassified</c:v>
                  </c:pt>
                  <c:pt idx="30">
                    <c:v>Syphilis, other</c:v>
                  </c:pt>
                  <c:pt idx="31">
                    <c:v>Gastroenteritis</c:v>
                  </c:pt>
                  <c:pt idx="32">
                    <c:v>Respiratory Infection</c:v>
                  </c:pt>
                  <c:pt idx="33">
                    <c:v>Other</c:v>
                  </c:pt>
                  <c:pt idx="34">
                    <c:v>Blastomycosis</c:v>
                  </c:pt>
                  <c:pt idx="35">
                    <c:v>Carbapenamase-producing Enterobacteriaceae</c:v>
                  </c:pt>
                  <c:pt idx="36">
                    <c:v>Amebiasis</c:v>
                  </c:pt>
                  <c:pt idx="37">
                    <c:v>Campylobacter enteritis</c:v>
                  </c:pt>
                  <c:pt idx="38">
                    <c:v>Cryptosporidiosis</c:v>
                  </c:pt>
                  <c:pt idx="39">
                    <c:v>Cyclosporiasis</c:v>
                  </c:pt>
                  <c:pt idx="40">
                    <c:v>Food poisoning</c:v>
                  </c:pt>
                  <c:pt idx="41">
                    <c:v>Giardiasis</c:v>
                  </c:pt>
                  <c:pt idx="42">
                    <c:v>Hepatitis A</c:v>
                  </c:pt>
                  <c:pt idx="43">
                    <c:v>Listeriosis</c:v>
                  </c:pt>
                  <c:pt idx="44">
                    <c:v>Paratyphoid fever</c:v>
                  </c:pt>
                  <c:pt idx="45">
                    <c:v>Salmonellosis</c:v>
                  </c:pt>
                  <c:pt idx="46">
                    <c:v>Shigellosis</c:v>
                  </c:pt>
                  <c:pt idx="47">
                    <c:v>Trichinosis</c:v>
                  </c:pt>
                  <c:pt idx="48">
                    <c:v>Typhoid fever</c:v>
                  </c:pt>
                  <c:pt idx="49">
                    <c:v>Verotoxin-producing E. coli infection</c:v>
                  </c:pt>
                  <c:pt idx="50">
                    <c:v>Yersiniosis</c:v>
                  </c:pt>
                  <c:pt idx="51">
                    <c:v>Group A Streptococcal disease, invasive</c:v>
                  </c:pt>
                  <c:pt idx="52">
                    <c:v>Group B Streptococcal disease, neonatal</c:v>
                  </c:pt>
                  <c:pt idx="53">
                    <c:v>Legionellosis</c:v>
                  </c:pt>
                  <c:pt idx="54">
                    <c:v>Meningococcal disease, invasive</c:v>
                  </c:pt>
                  <c:pt idx="55">
                    <c:v>Pneumococcal disease, invasive</c:v>
                  </c:pt>
                  <c:pt idx="56">
                    <c:v>TB: Atypical mycobacterial infections</c:v>
                  </c:pt>
                  <c:pt idx="57">
                    <c:v>Tuberculosis</c:v>
                  </c:pt>
                </c:lvl>
                <c:lvl>
                  <c:pt idx="0">
                    <c:v>Vectorborne and Zoonotics</c:v>
                  </c:pt>
                  <c:pt idx="8">
                    <c:v>Vaccine Preventable </c:v>
                  </c:pt>
                  <c:pt idx="19">
                    <c:v>Sexually Transmitted and Bloodborne</c:v>
                  </c:pt>
                  <c:pt idx="31">
                    <c:v>Outbreaks</c:v>
                  </c:pt>
                  <c:pt idx="34">
                    <c:v>Other</c:v>
                  </c:pt>
                  <c:pt idx="36">
                    <c:v>Enteric, Food and Waterborne</c:v>
                  </c:pt>
                  <c:pt idx="51">
                    <c:v>Direct Contact and Respiratory</c:v>
                  </c:pt>
                </c:lvl>
              </c:multiLvlStrCache>
            </c:multiLvlStrRef>
          </c:cat>
          <c:val>
            <c:numRef>
              <c:f>Visualization!$I$4:$I$69</c:f>
              <c:numCache>
                <c:formatCode>General</c:formatCode>
                <c:ptCount val="58"/>
                <c:pt idx="0">
                  <c:v>0</c:v>
                </c:pt>
                <c:pt idx="1">
                  <c:v>1</c:v>
                </c:pt>
                <c:pt idx="2">
                  <c:v>49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6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18</c:v>
                </c:pt>
                <c:pt idx="11">
                  <c:v>1</c:v>
                </c:pt>
                <c:pt idx="12">
                  <c:v>2</c:v>
                </c:pt>
                <c:pt idx="13">
                  <c:v>7</c:v>
                </c:pt>
                <c:pt idx="14">
                  <c:v>1</c:v>
                </c:pt>
                <c:pt idx="15">
                  <c:v>0</c:v>
                </c:pt>
                <c:pt idx="16">
                  <c:v>48</c:v>
                </c:pt>
                <c:pt idx="17">
                  <c:v>0</c:v>
                </c:pt>
                <c:pt idx="18">
                  <c:v>44</c:v>
                </c:pt>
                <c:pt idx="19">
                  <c:v>1</c:v>
                </c:pt>
                <c:pt idx="20">
                  <c:v>1125</c:v>
                </c:pt>
                <c:pt idx="21">
                  <c:v>667</c:v>
                </c:pt>
                <c:pt idx="22">
                  <c:v>40</c:v>
                </c:pt>
                <c:pt idx="23">
                  <c:v>1</c:v>
                </c:pt>
                <c:pt idx="24">
                  <c:v>47</c:v>
                </c:pt>
                <c:pt idx="25">
                  <c:v>33</c:v>
                </c:pt>
                <c:pt idx="26">
                  <c:v>0</c:v>
                </c:pt>
                <c:pt idx="27">
                  <c:v>0</c:v>
                </c:pt>
                <c:pt idx="28">
                  <c:v>81</c:v>
                </c:pt>
                <c:pt idx="29">
                  <c:v>31</c:v>
                </c:pt>
                <c:pt idx="30">
                  <c:v>64</c:v>
                </c:pt>
                <c:pt idx="31">
                  <c:v>7</c:v>
                </c:pt>
                <c:pt idx="32">
                  <c:v>79</c:v>
                </c:pt>
                <c:pt idx="33">
                  <c:v>0</c:v>
                </c:pt>
                <c:pt idx="34">
                  <c:v>0</c:v>
                </c:pt>
                <c:pt idx="35">
                  <c:v>28</c:v>
                </c:pt>
                <c:pt idx="36">
                  <c:v>4</c:v>
                </c:pt>
                <c:pt idx="37">
                  <c:v>68</c:v>
                </c:pt>
                <c:pt idx="38">
                  <c:v>25</c:v>
                </c:pt>
                <c:pt idx="39">
                  <c:v>19</c:v>
                </c:pt>
                <c:pt idx="40">
                  <c:v>0</c:v>
                </c:pt>
                <c:pt idx="41">
                  <c:v>32</c:v>
                </c:pt>
                <c:pt idx="42">
                  <c:v>1</c:v>
                </c:pt>
                <c:pt idx="43">
                  <c:v>1</c:v>
                </c:pt>
                <c:pt idx="44">
                  <c:v>2</c:v>
                </c:pt>
                <c:pt idx="45">
                  <c:v>94</c:v>
                </c:pt>
                <c:pt idx="46">
                  <c:v>11</c:v>
                </c:pt>
                <c:pt idx="47">
                  <c:v>0</c:v>
                </c:pt>
                <c:pt idx="48">
                  <c:v>1</c:v>
                </c:pt>
                <c:pt idx="49">
                  <c:v>6</c:v>
                </c:pt>
                <c:pt idx="50">
                  <c:v>9</c:v>
                </c:pt>
                <c:pt idx="51">
                  <c:v>14</c:v>
                </c:pt>
                <c:pt idx="52">
                  <c:v>0</c:v>
                </c:pt>
                <c:pt idx="53">
                  <c:v>12</c:v>
                </c:pt>
                <c:pt idx="54">
                  <c:v>0</c:v>
                </c:pt>
                <c:pt idx="55">
                  <c:v>12</c:v>
                </c:pt>
                <c:pt idx="56">
                  <c:v>2</c:v>
                </c:pt>
                <c:pt idx="57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7FC-BC4D-A8FA-D30B169C9C7C}"/>
            </c:ext>
          </c:extLst>
        </c:ser>
        <c:ser>
          <c:idx val="8"/>
          <c:order val="8"/>
          <c:tx>
            <c:strRef>
              <c:f>Visualization!$J$3</c:f>
              <c:strCache>
                <c:ptCount val="1"/>
                <c:pt idx="0">
                  <c:v>Sum of September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Visualization!$A$4:$A$69</c:f>
              <c:multiLvlStrCache>
                <c:ptCount val="58"/>
                <c:lvl>
                  <c:pt idx="0">
                    <c:v>Brucellosis</c:v>
                  </c:pt>
                  <c:pt idx="1">
                    <c:v>Hemorrhagic fevers</c:v>
                  </c:pt>
                  <c:pt idx="2">
                    <c:v>Lyme disease</c:v>
                  </c:pt>
                  <c:pt idx="3">
                    <c:v>Q fever</c:v>
                  </c:pt>
                  <c:pt idx="4">
                    <c:v>Rabies</c:v>
                  </c:pt>
                  <c:pt idx="5">
                    <c:v>Tularemia</c:v>
                  </c:pt>
                  <c:pt idx="6">
                    <c:v>West Nile Virus</c:v>
                  </c:pt>
                  <c:pt idx="7">
                    <c:v>Anaplasmosis</c:v>
                  </c:pt>
                  <c:pt idx="8">
                    <c:v>Acute flaccid paralysis</c:v>
                  </c:pt>
                  <c:pt idx="9">
                    <c:v>Adverse vaccine reactions</c:v>
                  </c:pt>
                  <c:pt idx="10">
                    <c:v>Chickenpox</c:v>
                  </c:pt>
                  <c:pt idx="11">
                    <c:v>Diphtheria</c:v>
                  </c:pt>
                  <c:pt idx="12">
                    <c:v>Haemophilus influenzae, invasive</c:v>
                  </c:pt>
                  <c:pt idx="13">
                    <c:v>Influenza</c:v>
                  </c:pt>
                  <c:pt idx="14">
                    <c:v>Measles</c:v>
                  </c:pt>
                  <c:pt idx="15">
                    <c:v>Mumps</c:v>
                  </c:pt>
                  <c:pt idx="16">
                    <c:v>Pertussis</c:v>
                  </c:pt>
                  <c:pt idx="17">
                    <c:v>COVID-19</c:v>
                  </c:pt>
                  <c:pt idx="18">
                    <c:v>Mpox</c:v>
                  </c:pt>
                  <c:pt idx="19">
                    <c:v>AIDS</c:v>
                  </c:pt>
                  <c:pt idx="20">
                    <c:v>Chlamydia</c:v>
                  </c:pt>
                  <c:pt idx="21">
                    <c:v>Gonorrhea</c:v>
                  </c:pt>
                  <c:pt idx="22">
                    <c:v>Hepatitis B - carriers</c:v>
                  </c:pt>
                  <c:pt idx="23">
                    <c:v>Hepatitis B - cases</c:v>
                  </c:pt>
                  <c:pt idx="24">
                    <c:v>Hepatitis C</c:v>
                  </c:pt>
                  <c:pt idx="25">
                    <c:v>HIV </c:v>
                  </c:pt>
                  <c:pt idx="26">
                    <c:v>Ophthalmia neonatorum</c:v>
                  </c:pt>
                  <c:pt idx="27">
                    <c:v>Syphilis, early congenital</c:v>
                  </c:pt>
                  <c:pt idx="28">
                    <c:v>Syphilis, infectious</c:v>
                  </c:pt>
                  <c:pt idx="29">
                    <c:v>Hepatitis B - unclassified</c:v>
                  </c:pt>
                  <c:pt idx="30">
                    <c:v>Syphilis, other</c:v>
                  </c:pt>
                  <c:pt idx="31">
                    <c:v>Gastroenteritis</c:v>
                  </c:pt>
                  <c:pt idx="32">
                    <c:v>Respiratory Infection</c:v>
                  </c:pt>
                  <c:pt idx="33">
                    <c:v>Other</c:v>
                  </c:pt>
                  <c:pt idx="34">
                    <c:v>Blastomycosis</c:v>
                  </c:pt>
                  <c:pt idx="35">
                    <c:v>Carbapenamase-producing Enterobacteriaceae</c:v>
                  </c:pt>
                  <c:pt idx="36">
                    <c:v>Amebiasis</c:v>
                  </c:pt>
                  <c:pt idx="37">
                    <c:v>Campylobacter enteritis</c:v>
                  </c:pt>
                  <c:pt idx="38">
                    <c:v>Cryptosporidiosis</c:v>
                  </c:pt>
                  <c:pt idx="39">
                    <c:v>Cyclosporiasis</c:v>
                  </c:pt>
                  <c:pt idx="40">
                    <c:v>Food poisoning</c:v>
                  </c:pt>
                  <c:pt idx="41">
                    <c:v>Giardiasis</c:v>
                  </c:pt>
                  <c:pt idx="42">
                    <c:v>Hepatitis A</c:v>
                  </c:pt>
                  <c:pt idx="43">
                    <c:v>Listeriosis</c:v>
                  </c:pt>
                  <c:pt idx="44">
                    <c:v>Paratyphoid fever</c:v>
                  </c:pt>
                  <c:pt idx="45">
                    <c:v>Salmonellosis</c:v>
                  </c:pt>
                  <c:pt idx="46">
                    <c:v>Shigellosis</c:v>
                  </c:pt>
                  <c:pt idx="47">
                    <c:v>Trichinosis</c:v>
                  </c:pt>
                  <c:pt idx="48">
                    <c:v>Typhoid fever</c:v>
                  </c:pt>
                  <c:pt idx="49">
                    <c:v>Verotoxin-producing E. coli infection</c:v>
                  </c:pt>
                  <c:pt idx="50">
                    <c:v>Yersiniosis</c:v>
                  </c:pt>
                  <c:pt idx="51">
                    <c:v>Group A Streptococcal disease, invasive</c:v>
                  </c:pt>
                  <c:pt idx="52">
                    <c:v>Group B Streptococcal disease, neonatal</c:v>
                  </c:pt>
                  <c:pt idx="53">
                    <c:v>Legionellosis</c:v>
                  </c:pt>
                  <c:pt idx="54">
                    <c:v>Meningococcal disease, invasive</c:v>
                  </c:pt>
                  <c:pt idx="55">
                    <c:v>Pneumococcal disease, invasive</c:v>
                  </c:pt>
                  <c:pt idx="56">
                    <c:v>TB: Atypical mycobacterial infections</c:v>
                  </c:pt>
                  <c:pt idx="57">
                    <c:v>Tuberculosis</c:v>
                  </c:pt>
                </c:lvl>
                <c:lvl>
                  <c:pt idx="0">
                    <c:v>Vectorborne and Zoonotics</c:v>
                  </c:pt>
                  <c:pt idx="8">
                    <c:v>Vaccine Preventable </c:v>
                  </c:pt>
                  <c:pt idx="19">
                    <c:v>Sexually Transmitted and Bloodborne</c:v>
                  </c:pt>
                  <c:pt idx="31">
                    <c:v>Outbreaks</c:v>
                  </c:pt>
                  <c:pt idx="34">
                    <c:v>Other</c:v>
                  </c:pt>
                  <c:pt idx="36">
                    <c:v>Enteric, Food and Waterborne</c:v>
                  </c:pt>
                  <c:pt idx="51">
                    <c:v>Direct Contact and Respiratory</c:v>
                  </c:pt>
                </c:lvl>
              </c:multiLvlStrCache>
            </c:multiLvlStrRef>
          </c:cat>
          <c:val>
            <c:numRef>
              <c:f>Visualization!$J$4:$J$69</c:f>
              <c:numCache>
                <c:formatCode>General</c:formatCode>
                <c:ptCount val="58"/>
                <c:pt idx="0">
                  <c:v>0</c:v>
                </c:pt>
                <c:pt idx="1">
                  <c:v>0</c:v>
                </c:pt>
                <c:pt idx="2">
                  <c:v>35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4</c:v>
                </c:pt>
                <c:pt idx="7">
                  <c:v>0</c:v>
                </c:pt>
                <c:pt idx="8">
                  <c:v>0</c:v>
                </c:pt>
                <c:pt idx="9">
                  <c:v>7</c:v>
                </c:pt>
                <c:pt idx="10">
                  <c:v>30</c:v>
                </c:pt>
                <c:pt idx="11">
                  <c:v>0</c:v>
                </c:pt>
                <c:pt idx="12">
                  <c:v>4</c:v>
                </c:pt>
                <c:pt idx="13">
                  <c:v>36</c:v>
                </c:pt>
                <c:pt idx="14">
                  <c:v>0</c:v>
                </c:pt>
                <c:pt idx="15">
                  <c:v>0</c:v>
                </c:pt>
                <c:pt idx="16">
                  <c:v>40</c:v>
                </c:pt>
                <c:pt idx="17">
                  <c:v>0</c:v>
                </c:pt>
                <c:pt idx="18">
                  <c:v>33</c:v>
                </c:pt>
                <c:pt idx="19">
                  <c:v>1</c:v>
                </c:pt>
                <c:pt idx="20">
                  <c:v>1113</c:v>
                </c:pt>
                <c:pt idx="21">
                  <c:v>632</c:v>
                </c:pt>
                <c:pt idx="22">
                  <c:v>43</c:v>
                </c:pt>
                <c:pt idx="23">
                  <c:v>1</c:v>
                </c:pt>
                <c:pt idx="24">
                  <c:v>35</c:v>
                </c:pt>
                <c:pt idx="25">
                  <c:v>28</c:v>
                </c:pt>
                <c:pt idx="26">
                  <c:v>0</c:v>
                </c:pt>
                <c:pt idx="27">
                  <c:v>0</c:v>
                </c:pt>
                <c:pt idx="28">
                  <c:v>90</c:v>
                </c:pt>
                <c:pt idx="29">
                  <c:v>42</c:v>
                </c:pt>
                <c:pt idx="30">
                  <c:v>57</c:v>
                </c:pt>
                <c:pt idx="31">
                  <c:v>5</c:v>
                </c:pt>
                <c:pt idx="32">
                  <c:v>79</c:v>
                </c:pt>
                <c:pt idx="33">
                  <c:v>1</c:v>
                </c:pt>
                <c:pt idx="34">
                  <c:v>2</c:v>
                </c:pt>
                <c:pt idx="35">
                  <c:v>21</c:v>
                </c:pt>
                <c:pt idx="36">
                  <c:v>7</c:v>
                </c:pt>
                <c:pt idx="37">
                  <c:v>57</c:v>
                </c:pt>
                <c:pt idx="38">
                  <c:v>19</c:v>
                </c:pt>
                <c:pt idx="39">
                  <c:v>3</c:v>
                </c:pt>
                <c:pt idx="40">
                  <c:v>0</c:v>
                </c:pt>
                <c:pt idx="41">
                  <c:v>36</c:v>
                </c:pt>
                <c:pt idx="42">
                  <c:v>2</c:v>
                </c:pt>
                <c:pt idx="43">
                  <c:v>2</c:v>
                </c:pt>
                <c:pt idx="44">
                  <c:v>0</c:v>
                </c:pt>
                <c:pt idx="45">
                  <c:v>44</c:v>
                </c:pt>
                <c:pt idx="46">
                  <c:v>17</c:v>
                </c:pt>
                <c:pt idx="47">
                  <c:v>0</c:v>
                </c:pt>
                <c:pt idx="48">
                  <c:v>1</c:v>
                </c:pt>
                <c:pt idx="49">
                  <c:v>2</c:v>
                </c:pt>
                <c:pt idx="50">
                  <c:v>7</c:v>
                </c:pt>
                <c:pt idx="51">
                  <c:v>16</c:v>
                </c:pt>
                <c:pt idx="52">
                  <c:v>0</c:v>
                </c:pt>
                <c:pt idx="53">
                  <c:v>9</c:v>
                </c:pt>
                <c:pt idx="54">
                  <c:v>0</c:v>
                </c:pt>
                <c:pt idx="55">
                  <c:v>18</c:v>
                </c:pt>
                <c:pt idx="56">
                  <c:v>3</c:v>
                </c:pt>
                <c:pt idx="57">
                  <c:v>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77FC-BC4D-A8FA-D30B169C9C7C}"/>
            </c:ext>
          </c:extLst>
        </c:ser>
        <c:ser>
          <c:idx val="9"/>
          <c:order val="9"/>
          <c:tx>
            <c:strRef>
              <c:f>Visualization!$K$3</c:f>
              <c:strCache>
                <c:ptCount val="1"/>
                <c:pt idx="0">
                  <c:v>Sum of October</c:v>
                </c:pt>
              </c:strCache>
            </c:strRef>
          </c:tx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Visualization!$A$4:$A$69</c:f>
              <c:multiLvlStrCache>
                <c:ptCount val="58"/>
                <c:lvl>
                  <c:pt idx="0">
                    <c:v>Brucellosis</c:v>
                  </c:pt>
                  <c:pt idx="1">
                    <c:v>Hemorrhagic fevers</c:v>
                  </c:pt>
                  <c:pt idx="2">
                    <c:v>Lyme disease</c:v>
                  </c:pt>
                  <c:pt idx="3">
                    <c:v>Q fever</c:v>
                  </c:pt>
                  <c:pt idx="4">
                    <c:v>Rabies</c:v>
                  </c:pt>
                  <c:pt idx="5">
                    <c:v>Tularemia</c:v>
                  </c:pt>
                  <c:pt idx="6">
                    <c:v>West Nile Virus</c:v>
                  </c:pt>
                  <c:pt idx="7">
                    <c:v>Anaplasmosis</c:v>
                  </c:pt>
                  <c:pt idx="8">
                    <c:v>Acute flaccid paralysis</c:v>
                  </c:pt>
                  <c:pt idx="9">
                    <c:v>Adverse vaccine reactions</c:v>
                  </c:pt>
                  <c:pt idx="10">
                    <c:v>Chickenpox</c:v>
                  </c:pt>
                  <c:pt idx="11">
                    <c:v>Diphtheria</c:v>
                  </c:pt>
                  <c:pt idx="12">
                    <c:v>Haemophilus influenzae, invasive</c:v>
                  </c:pt>
                  <c:pt idx="13">
                    <c:v>Influenza</c:v>
                  </c:pt>
                  <c:pt idx="14">
                    <c:v>Measles</c:v>
                  </c:pt>
                  <c:pt idx="15">
                    <c:v>Mumps</c:v>
                  </c:pt>
                  <c:pt idx="16">
                    <c:v>Pertussis</c:v>
                  </c:pt>
                  <c:pt idx="17">
                    <c:v>COVID-19</c:v>
                  </c:pt>
                  <c:pt idx="18">
                    <c:v>Mpox</c:v>
                  </c:pt>
                  <c:pt idx="19">
                    <c:v>AIDS</c:v>
                  </c:pt>
                  <c:pt idx="20">
                    <c:v>Chlamydia</c:v>
                  </c:pt>
                  <c:pt idx="21">
                    <c:v>Gonorrhea</c:v>
                  </c:pt>
                  <c:pt idx="22">
                    <c:v>Hepatitis B - carriers</c:v>
                  </c:pt>
                  <c:pt idx="23">
                    <c:v>Hepatitis B - cases</c:v>
                  </c:pt>
                  <c:pt idx="24">
                    <c:v>Hepatitis C</c:v>
                  </c:pt>
                  <c:pt idx="25">
                    <c:v>HIV </c:v>
                  </c:pt>
                  <c:pt idx="26">
                    <c:v>Ophthalmia neonatorum</c:v>
                  </c:pt>
                  <c:pt idx="27">
                    <c:v>Syphilis, early congenital</c:v>
                  </c:pt>
                  <c:pt idx="28">
                    <c:v>Syphilis, infectious</c:v>
                  </c:pt>
                  <c:pt idx="29">
                    <c:v>Hepatitis B - unclassified</c:v>
                  </c:pt>
                  <c:pt idx="30">
                    <c:v>Syphilis, other</c:v>
                  </c:pt>
                  <c:pt idx="31">
                    <c:v>Gastroenteritis</c:v>
                  </c:pt>
                  <c:pt idx="32">
                    <c:v>Respiratory Infection</c:v>
                  </c:pt>
                  <c:pt idx="33">
                    <c:v>Other</c:v>
                  </c:pt>
                  <c:pt idx="34">
                    <c:v>Blastomycosis</c:v>
                  </c:pt>
                  <c:pt idx="35">
                    <c:v>Carbapenamase-producing Enterobacteriaceae</c:v>
                  </c:pt>
                  <c:pt idx="36">
                    <c:v>Amebiasis</c:v>
                  </c:pt>
                  <c:pt idx="37">
                    <c:v>Campylobacter enteritis</c:v>
                  </c:pt>
                  <c:pt idx="38">
                    <c:v>Cryptosporidiosis</c:v>
                  </c:pt>
                  <c:pt idx="39">
                    <c:v>Cyclosporiasis</c:v>
                  </c:pt>
                  <c:pt idx="40">
                    <c:v>Food poisoning</c:v>
                  </c:pt>
                  <c:pt idx="41">
                    <c:v>Giardiasis</c:v>
                  </c:pt>
                  <c:pt idx="42">
                    <c:v>Hepatitis A</c:v>
                  </c:pt>
                  <c:pt idx="43">
                    <c:v>Listeriosis</c:v>
                  </c:pt>
                  <c:pt idx="44">
                    <c:v>Paratyphoid fever</c:v>
                  </c:pt>
                  <c:pt idx="45">
                    <c:v>Salmonellosis</c:v>
                  </c:pt>
                  <c:pt idx="46">
                    <c:v>Shigellosis</c:v>
                  </c:pt>
                  <c:pt idx="47">
                    <c:v>Trichinosis</c:v>
                  </c:pt>
                  <c:pt idx="48">
                    <c:v>Typhoid fever</c:v>
                  </c:pt>
                  <c:pt idx="49">
                    <c:v>Verotoxin-producing E. coli infection</c:v>
                  </c:pt>
                  <c:pt idx="50">
                    <c:v>Yersiniosis</c:v>
                  </c:pt>
                  <c:pt idx="51">
                    <c:v>Group A Streptococcal disease, invasive</c:v>
                  </c:pt>
                  <c:pt idx="52">
                    <c:v>Group B Streptococcal disease, neonatal</c:v>
                  </c:pt>
                  <c:pt idx="53">
                    <c:v>Legionellosis</c:v>
                  </c:pt>
                  <c:pt idx="54">
                    <c:v>Meningococcal disease, invasive</c:v>
                  </c:pt>
                  <c:pt idx="55">
                    <c:v>Pneumococcal disease, invasive</c:v>
                  </c:pt>
                  <c:pt idx="56">
                    <c:v>TB: Atypical mycobacterial infections</c:v>
                  </c:pt>
                  <c:pt idx="57">
                    <c:v>Tuberculosis</c:v>
                  </c:pt>
                </c:lvl>
                <c:lvl>
                  <c:pt idx="0">
                    <c:v>Vectorborne and Zoonotics</c:v>
                  </c:pt>
                  <c:pt idx="8">
                    <c:v>Vaccine Preventable </c:v>
                  </c:pt>
                  <c:pt idx="19">
                    <c:v>Sexually Transmitted and Bloodborne</c:v>
                  </c:pt>
                  <c:pt idx="31">
                    <c:v>Outbreaks</c:v>
                  </c:pt>
                  <c:pt idx="34">
                    <c:v>Other</c:v>
                  </c:pt>
                  <c:pt idx="36">
                    <c:v>Enteric, Food and Waterborne</c:v>
                  </c:pt>
                  <c:pt idx="51">
                    <c:v>Direct Contact and Respiratory</c:v>
                  </c:pt>
                </c:lvl>
              </c:multiLvlStrCache>
            </c:multiLvlStrRef>
          </c:cat>
          <c:val>
            <c:numRef>
              <c:f>Visualization!$K$4:$K$69</c:f>
              <c:numCache>
                <c:formatCode>General</c:formatCode>
                <c:ptCount val="58"/>
                <c:pt idx="0">
                  <c:v>1</c:v>
                </c:pt>
                <c:pt idx="1">
                  <c:v>0</c:v>
                </c:pt>
                <c:pt idx="2">
                  <c:v>30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1</c:v>
                </c:pt>
                <c:pt idx="8">
                  <c:v>0</c:v>
                </c:pt>
                <c:pt idx="9">
                  <c:v>10</c:v>
                </c:pt>
                <c:pt idx="10">
                  <c:v>39</c:v>
                </c:pt>
                <c:pt idx="11">
                  <c:v>0</c:v>
                </c:pt>
                <c:pt idx="12">
                  <c:v>2</c:v>
                </c:pt>
                <c:pt idx="13">
                  <c:v>40</c:v>
                </c:pt>
                <c:pt idx="14">
                  <c:v>0</c:v>
                </c:pt>
                <c:pt idx="15">
                  <c:v>0</c:v>
                </c:pt>
                <c:pt idx="16">
                  <c:v>22</c:v>
                </c:pt>
                <c:pt idx="17">
                  <c:v>0</c:v>
                </c:pt>
                <c:pt idx="18">
                  <c:v>23</c:v>
                </c:pt>
                <c:pt idx="19">
                  <c:v>1</c:v>
                </c:pt>
                <c:pt idx="20">
                  <c:v>1241</c:v>
                </c:pt>
                <c:pt idx="21">
                  <c:v>696</c:v>
                </c:pt>
                <c:pt idx="22">
                  <c:v>42</c:v>
                </c:pt>
                <c:pt idx="23">
                  <c:v>1</c:v>
                </c:pt>
                <c:pt idx="24">
                  <c:v>40</c:v>
                </c:pt>
                <c:pt idx="25">
                  <c:v>41</c:v>
                </c:pt>
                <c:pt idx="26">
                  <c:v>0</c:v>
                </c:pt>
                <c:pt idx="27">
                  <c:v>0</c:v>
                </c:pt>
                <c:pt idx="28">
                  <c:v>82</c:v>
                </c:pt>
                <c:pt idx="29">
                  <c:v>47</c:v>
                </c:pt>
                <c:pt idx="30">
                  <c:v>51</c:v>
                </c:pt>
                <c:pt idx="31">
                  <c:v>9</c:v>
                </c:pt>
                <c:pt idx="32">
                  <c:v>81</c:v>
                </c:pt>
                <c:pt idx="33">
                  <c:v>0</c:v>
                </c:pt>
                <c:pt idx="34">
                  <c:v>0</c:v>
                </c:pt>
                <c:pt idx="35">
                  <c:v>29</c:v>
                </c:pt>
                <c:pt idx="36">
                  <c:v>4</c:v>
                </c:pt>
                <c:pt idx="37">
                  <c:v>57</c:v>
                </c:pt>
                <c:pt idx="38">
                  <c:v>8</c:v>
                </c:pt>
                <c:pt idx="39">
                  <c:v>0</c:v>
                </c:pt>
                <c:pt idx="40">
                  <c:v>0</c:v>
                </c:pt>
                <c:pt idx="41">
                  <c:v>34</c:v>
                </c:pt>
                <c:pt idx="42">
                  <c:v>4</c:v>
                </c:pt>
                <c:pt idx="43">
                  <c:v>2</c:v>
                </c:pt>
                <c:pt idx="44">
                  <c:v>0</c:v>
                </c:pt>
                <c:pt idx="45">
                  <c:v>48</c:v>
                </c:pt>
                <c:pt idx="46">
                  <c:v>14</c:v>
                </c:pt>
                <c:pt idx="47">
                  <c:v>0</c:v>
                </c:pt>
                <c:pt idx="48">
                  <c:v>1</c:v>
                </c:pt>
                <c:pt idx="49">
                  <c:v>3</c:v>
                </c:pt>
                <c:pt idx="50">
                  <c:v>8</c:v>
                </c:pt>
                <c:pt idx="51">
                  <c:v>16</c:v>
                </c:pt>
                <c:pt idx="52">
                  <c:v>0</c:v>
                </c:pt>
                <c:pt idx="53">
                  <c:v>3</c:v>
                </c:pt>
                <c:pt idx="54">
                  <c:v>1</c:v>
                </c:pt>
                <c:pt idx="55">
                  <c:v>28</c:v>
                </c:pt>
                <c:pt idx="56">
                  <c:v>1</c:v>
                </c:pt>
                <c:pt idx="57">
                  <c:v>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77FC-BC4D-A8FA-D30B169C9C7C}"/>
            </c:ext>
          </c:extLst>
        </c:ser>
        <c:ser>
          <c:idx val="10"/>
          <c:order val="10"/>
          <c:tx>
            <c:strRef>
              <c:f>Visualization!$L$3</c:f>
              <c:strCache>
                <c:ptCount val="1"/>
                <c:pt idx="0">
                  <c:v>Sum of November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Visualization!$A$4:$A$69</c:f>
              <c:multiLvlStrCache>
                <c:ptCount val="58"/>
                <c:lvl>
                  <c:pt idx="0">
                    <c:v>Brucellosis</c:v>
                  </c:pt>
                  <c:pt idx="1">
                    <c:v>Hemorrhagic fevers</c:v>
                  </c:pt>
                  <c:pt idx="2">
                    <c:v>Lyme disease</c:v>
                  </c:pt>
                  <c:pt idx="3">
                    <c:v>Q fever</c:v>
                  </c:pt>
                  <c:pt idx="4">
                    <c:v>Rabies</c:v>
                  </c:pt>
                  <c:pt idx="5">
                    <c:v>Tularemia</c:v>
                  </c:pt>
                  <c:pt idx="6">
                    <c:v>West Nile Virus</c:v>
                  </c:pt>
                  <c:pt idx="7">
                    <c:v>Anaplasmosis</c:v>
                  </c:pt>
                  <c:pt idx="8">
                    <c:v>Acute flaccid paralysis</c:v>
                  </c:pt>
                  <c:pt idx="9">
                    <c:v>Adverse vaccine reactions</c:v>
                  </c:pt>
                  <c:pt idx="10">
                    <c:v>Chickenpox</c:v>
                  </c:pt>
                  <c:pt idx="11">
                    <c:v>Diphtheria</c:v>
                  </c:pt>
                  <c:pt idx="12">
                    <c:v>Haemophilus influenzae, invasive</c:v>
                  </c:pt>
                  <c:pt idx="13">
                    <c:v>Influenza</c:v>
                  </c:pt>
                  <c:pt idx="14">
                    <c:v>Measles</c:v>
                  </c:pt>
                  <c:pt idx="15">
                    <c:v>Mumps</c:v>
                  </c:pt>
                  <c:pt idx="16">
                    <c:v>Pertussis</c:v>
                  </c:pt>
                  <c:pt idx="17">
                    <c:v>COVID-19</c:v>
                  </c:pt>
                  <c:pt idx="18">
                    <c:v>Mpox</c:v>
                  </c:pt>
                  <c:pt idx="19">
                    <c:v>AIDS</c:v>
                  </c:pt>
                  <c:pt idx="20">
                    <c:v>Chlamydia</c:v>
                  </c:pt>
                  <c:pt idx="21">
                    <c:v>Gonorrhea</c:v>
                  </c:pt>
                  <c:pt idx="22">
                    <c:v>Hepatitis B - carriers</c:v>
                  </c:pt>
                  <c:pt idx="23">
                    <c:v>Hepatitis B - cases</c:v>
                  </c:pt>
                  <c:pt idx="24">
                    <c:v>Hepatitis C</c:v>
                  </c:pt>
                  <c:pt idx="25">
                    <c:v>HIV </c:v>
                  </c:pt>
                  <c:pt idx="26">
                    <c:v>Ophthalmia neonatorum</c:v>
                  </c:pt>
                  <c:pt idx="27">
                    <c:v>Syphilis, early congenital</c:v>
                  </c:pt>
                  <c:pt idx="28">
                    <c:v>Syphilis, infectious</c:v>
                  </c:pt>
                  <c:pt idx="29">
                    <c:v>Hepatitis B - unclassified</c:v>
                  </c:pt>
                  <c:pt idx="30">
                    <c:v>Syphilis, other</c:v>
                  </c:pt>
                  <c:pt idx="31">
                    <c:v>Gastroenteritis</c:v>
                  </c:pt>
                  <c:pt idx="32">
                    <c:v>Respiratory Infection</c:v>
                  </c:pt>
                  <c:pt idx="33">
                    <c:v>Other</c:v>
                  </c:pt>
                  <c:pt idx="34">
                    <c:v>Blastomycosis</c:v>
                  </c:pt>
                  <c:pt idx="35">
                    <c:v>Carbapenamase-producing Enterobacteriaceae</c:v>
                  </c:pt>
                  <c:pt idx="36">
                    <c:v>Amebiasis</c:v>
                  </c:pt>
                  <c:pt idx="37">
                    <c:v>Campylobacter enteritis</c:v>
                  </c:pt>
                  <c:pt idx="38">
                    <c:v>Cryptosporidiosis</c:v>
                  </c:pt>
                  <c:pt idx="39">
                    <c:v>Cyclosporiasis</c:v>
                  </c:pt>
                  <c:pt idx="40">
                    <c:v>Food poisoning</c:v>
                  </c:pt>
                  <c:pt idx="41">
                    <c:v>Giardiasis</c:v>
                  </c:pt>
                  <c:pt idx="42">
                    <c:v>Hepatitis A</c:v>
                  </c:pt>
                  <c:pt idx="43">
                    <c:v>Listeriosis</c:v>
                  </c:pt>
                  <c:pt idx="44">
                    <c:v>Paratyphoid fever</c:v>
                  </c:pt>
                  <c:pt idx="45">
                    <c:v>Salmonellosis</c:v>
                  </c:pt>
                  <c:pt idx="46">
                    <c:v>Shigellosis</c:v>
                  </c:pt>
                  <c:pt idx="47">
                    <c:v>Trichinosis</c:v>
                  </c:pt>
                  <c:pt idx="48">
                    <c:v>Typhoid fever</c:v>
                  </c:pt>
                  <c:pt idx="49">
                    <c:v>Verotoxin-producing E. coli infection</c:v>
                  </c:pt>
                  <c:pt idx="50">
                    <c:v>Yersiniosis</c:v>
                  </c:pt>
                  <c:pt idx="51">
                    <c:v>Group A Streptococcal disease, invasive</c:v>
                  </c:pt>
                  <c:pt idx="52">
                    <c:v>Group B Streptococcal disease, neonatal</c:v>
                  </c:pt>
                  <c:pt idx="53">
                    <c:v>Legionellosis</c:v>
                  </c:pt>
                  <c:pt idx="54">
                    <c:v>Meningococcal disease, invasive</c:v>
                  </c:pt>
                  <c:pt idx="55">
                    <c:v>Pneumococcal disease, invasive</c:v>
                  </c:pt>
                  <c:pt idx="56">
                    <c:v>TB: Atypical mycobacterial infections</c:v>
                  </c:pt>
                  <c:pt idx="57">
                    <c:v>Tuberculosis</c:v>
                  </c:pt>
                </c:lvl>
                <c:lvl>
                  <c:pt idx="0">
                    <c:v>Vectorborne and Zoonotics</c:v>
                  </c:pt>
                  <c:pt idx="8">
                    <c:v>Vaccine Preventable </c:v>
                  </c:pt>
                  <c:pt idx="19">
                    <c:v>Sexually Transmitted and Bloodborne</c:v>
                  </c:pt>
                  <c:pt idx="31">
                    <c:v>Outbreaks</c:v>
                  </c:pt>
                  <c:pt idx="34">
                    <c:v>Other</c:v>
                  </c:pt>
                  <c:pt idx="36">
                    <c:v>Enteric, Food and Waterborne</c:v>
                  </c:pt>
                  <c:pt idx="51">
                    <c:v>Direct Contact and Respiratory</c:v>
                  </c:pt>
                </c:lvl>
              </c:multiLvlStrCache>
            </c:multiLvlStrRef>
          </c:cat>
          <c:val>
            <c:numRef>
              <c:f>Visualization!$L$4:$L$69</c:f>
              <c:numCache>
                <c:formatCode>General</c:formatCode>
                <c:ptCount val="58"/>
                <c:pt idx="0">
                  <c:v>0</c:v>
                </c:pt>
                <c:pt idx="1">
                  <c:v>0</c:v>
                </c:pt>
                <c:pt idx="2">
                  <c:v>7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6</c:v>
                </c:pt>
                <c:pt idx="10">
                  <c:v>36</c:v>
                </c:pt>
                <c:pt idx="11">
                  <c:v>0</c:v>
                </c:pt>
                <c:pt idx="12">
                  <c:v>5</c:v>
                </c:pt>
                <c:pt idx="13">
                  <c:v>75</c:v>
                </c:pt>
                <c:pt idx="14">
                  <c:v>0</c:v>
                </c:pt>
                <c:pt idx="15">
                  <c:v>2</c:v>
                </c:pt>
                <c:pt idx="16">
                  <c:v>12</c:v>
                </c:pt>
                <c:pt idx="17">
                  <c:v>0</c:v>
                </c:pt>
                <c:pt idx="18">
                  <c:v>15</c:v>
                </c:pt>
                <c:pt idx="19">
                  <c:v>1</c:v>
                </c:pt>
                <c:pt idx="20">
                  <c:v>1134</c:v>
                </c:pt>
                <c:pt idx="21">
                  <c:v>574</c:v>
                </c:pt>
                <c:pt idx="22">
                  <c:v>46</c:v>
                </c:pt>
                <c:pt idx="23">
                  <c:v>1</c:v>
                </c:pt>
                <c:pt idx="24">
                  <c:v>31</c:v>
                </c:pt>
                <c:pt idx="25">
                  <c:v>29</c:v>
                </c:pt>
                <c:pt idx="26">
                  <c:v>0</c:v>
                </c:pt>
                <c:pt idx="27">
                  <c:v>0</c:v>
                </c:pt>
                <c:pt idx="28">
                  <c:v>82</c:v>
                </c:pt>
                <c:pt idx="29">
                  <c:v>33</c:v>
                </c:pt>
                <c:pt idx="30">
                  <c:v>42</c:v>
                </c:pt>
                <c:pt idx="31">
                  <c:v>18</c:v>
                </c:pt>
                <c:pt idx="32">
                  <c:v>71</c:v>
                </c:pt>
                <c:pt idx="33">
                  <c:v>1</c:v>
                </c:pt>
                <c:pt idx="34">
                  <c:v>0</c:v>
                </c:pt>
                <c:pt idx="35">
                  <c:v>35</c:v>
                </c:pt>
                <c:pt idx="36">
                  <c:v>8</c:v>
                </c:pt>
                <c:pt idx="37">
                  <c:v>41</c:v>
                </c:pt>
                <c:pt idx="38">
                  <c:v>7</c:v>
                </c:pt>
                <c:pt idx="39">
                  <c:v>1</c:v>
                </c:pt>
                <c:pt idx="40">
                  <c:v>1</c:v>
                </c:pt>
                <c:pt idx="41">
                  <c:v>25</c:v>
                </c:pt>
                <c:pt idx="42">
                  <c:v>3</c:v>
                </c:pt>
                <c:pt idx="43">
                  <c:v>2</c:v>
                </c:pt>
                <c:pt idx="44">
                  <c:v>0</c:v>
                </c:pt>
                <c:pt idx="45">
                  <c:v>40</c:v>
                </c:pt>
                <c:pt idx="46">
                  <c:v>9</c:v>
                </c:pt>
                <c:pt idx="47">
                  <c:v>0</c:v>
                </c:pt>
                <c:pt idx="48">
                  <c:v>1</c:v>
                </c:pt>
                <c:pt idx="49">
                  <c:v>4</c:v>
                </c:pt>
                <c:pt idx="50">
                  <c:v>2</c:v>
                </c:pt>
                <c:pt idx="51">
                  <c:v>15</c:v>
                </c:pt>
                <c:pt idx="52">
                  <c:v>0</c:v>
                </c:pt>
                <c:pt idx="53">
                  <c:v>6</c:v>
                </c:pt>
                <c:pt idx="54">
                  <c:v>1</c:v>
                </c:pt>
                <c:pt idx="55">
                  <c:v>13</c:v>
                </c:pt>
                <c:pt idx="56">
                  <c:v>0</c:v>
                </c:pt>
                <c:pt idx="57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77FC-BC4D-A8FA-D30B169C9C7C}"/>
            </c:ext>
          </c:extLst>
        </c:ser>
        <c:ser>
          <c:idx val="11"/>
          <c:order val="11"/>
          <c:tx>
            <c:strRef>
              <c:f>Visualization!$M$3</c:f>
              <c:strCache>
                <c:ptCount val="1"/>
                <c:pt idx="0">
                  <c:v>Sum of December</c:v>
                </c:pt>
              </c:strCache>
            </c:strRef>
          </c:tx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Visualization!$A$4:$A$69</c:f>
              <c:multiLvlStrCache>
                <c:ptCount val="58"/>
                <c:lvl>
                  <c:pt idx="0">
                    <c:v>Brucellosis</c:v>
                  </c:pt>
                  <c:pt idx="1">
                    <c:v>Hemorrhagic fevers</c:v>
                  </c:pt>
                  <c:pt idx="2">
                    <c:v>Lyme disease</c:v>
                  </c:pt>
                  <c:pt idx="3">
                    <c:v>Q fever</c:v>
                  </c:pt>
                  <c:pt idx="4">
                    <c:v>Rabies</c:v>
                  </c:pt>
                  <c:pt idx="5">
                    <c:v>Tularemia</c:v>
                  </c:pt>
                  <c:pt idx="6">
                    <c:v>West Nile Virus</c:v>
                  </c:pt>
                  <c:pt idx="7">
                    <c:v>Anaplasmosis</c:v>
                  </c:pt>
                  <c:pt idx="8">
                    <c:v>Acute flaccid paralysis</c:v>
                  </c:pt>
                  <c:pt idx="9">
                    <c:v>Adverse vaccine reactions</c:v>
                  </c:pt>
                  <c:pt idx="10">
                    <c:v>Chickenpox</c:v>
                  </c:pt>
                  <c:pt idx="11">
                    <c:v>Diphtheria</c:v>
                  </c:pt>
                  <c:pt idx="12">
                    <c:v>Haemophilus influenzae, invasive</c:v>
                  </c:pt>
                  <c:pt idx="13">
                    <c:v>Influenza</c:v>
                  </c:pt>
                  <c:pt idx="14">
                    <c:v>Measles</c:v>
                  </c:pt>
                  <c:pt idx="15">
                    <c:v>Mumps</c:v>
                  </c:pt>
                  <c:pt idx="16">
                    <c:v>Pertussis</c:v>
                  </c:pt>
                  <c:pt idx="17">
                    <c:v>COVID-19</c:v>
                  </c:pt>
                  <c:pt idx="18">
                    <c:v>Mpox</c:v>
                  </c:pt>
                  <c:pt idx="19">
                    <c:v>AIDS</c:v>
                  </c:pt>
                  <c:pt idx="20">
                    <c:v>Chlamydia</c:v>
                  </c:pt>
                  <c:pt idx="21">
                    <c:v>Gonorrhea</c:v>
                  </c:pt>
                  <c:pt idx="22">
                    <c:v>Hepatitis B - carriers</c:v>
                  </c:pt>
                  <c:pt idx="23">
                    <c:v>Hepatitis B - cases</c:v>
                  </c:pt>
                  <c:pt idx="24">
                    <c:v>Hepatitis C</c:v>
                  </c:pt>
                  <c:pt idx="25">
                    <c:v>HIV </c:v>
                  </c:pt>
                  <c:pt idx="26">
                    <c:v>Ophthalmia neonatorum</c:v>
                  </c:pt>
                  <c:pt idx="27">
                    <c:v>Syphilis, early congenital</c:v>
                  </c:pt>
                  <c:pt idx="28">
                    <c:v>Syphilis, infectious</c:v>
                  </c:pt>
                  <c:pt idx="29">
                    <c:v>Hepatitis B - unclassified</c:v>
                  </c:pt>
                  <c:pt idx="30">
                    <c:v>Syphilis, other</c:v>
                  </c:pt>
                  <c:pt idx="31">
                    <c:v>Gastroenteritis</c:v>
                  </c:pt>
                  <c:pt idx="32">
                    <c:v>Respiratory Infection</c:v>
                  </c:pt>
                  <c:pt idx="33">
                    <c:v>Other</c:v>
                  </c:pt>
                  <c:pt idx="34">
                    <c:v>Blastomycosis</c:v>
                  </c:pt>
                  <c:pt idx="35">
                    <c:v>Carbapenamase-producing Enterobacteriaceae</c:v>
                  </c:pt>
                  <c:pt idx="36">
                    <c:v>Amebiasis</c:v>
                  </c:pt>
                  <c:pt idx="37">
                    <c:v>Campylobacter enteritis</c:v>
                  </c:pt>
                  <c:pt idx="38">
                    <c:v>Cryptosporidiosis</c:v>
                  </c:pt>
                  <c:pt idx="39">
                    <c:v>Cyclosporiasis</c:v>
                  </c:pt>
                  <c:pt idx="40">
                    <c:v>Food poisoning</c:v>
                  </c:pt>
                  <c:pt idx="41">
                    <c:v>Giardiasis</c:v>
                  </c:pt>
                  <c:pt idx="42">
                    <c:v>Hepatitis A</c:v>
                  </c:pt>
                  <c:pt idx="43">
                    <c:v>Listeriosis</c:v>
                  </c:pt>
                  <c:pt idx="44">
                    <c:v>Paratyphoid fever</c:v>
                  </c:pt>
                  <c:pt idx="45">
                    <c:v>Salmonellosis</c:v>
                  </c:pt>
                  <c:pt idx="46">
                    <c:v>Shigellosis</c:v>
                  </c:pt>
                  <c:pt idx="47">
                    <c:v>Trichinosis</c:v>
                  </c:pt>
                  <c:pt idx="48">
                    <c:v>Typhoid fever</c:v>
                  </c:pt>
                  <c:pt idx="49">
                    <c:v>Verotoxin-producing E. coli infection</c:v>
                  </c:pt>
                  <c:pt idx="50">
                    <c:v>Yersiniosis</c:v>
                  </c:pt>
                  <c:pt idx="51">
                    <c:v>Group A Streptococcal disease, invasive</c:v>
                  </c:pt>
                  <c:pt idx="52">
                    <c:v>Group B Streptococcal disease, neonatal</c:v>
                  </c:pt>
                  <c:pt idx="53">
                    <c:v>Legionellosis</c:v>
                  </c:pt>
                  <c:pt idx="54">
                    <c:v>Meningococcal disease, invasive</c:v>
                  </c:pt>
                  <c:pt idx="55">
                    <c:v>Pneumococcal disease, invasive</c:v>
                  </c:pt>
                  <c:pt idx="56">
                    <c:v>TB: Atypical mycobacterial infections</c:v>
                  </c:pt>
                  <c:pt idx="57">
                    <c:v>Tuberculosis</c:v>
                  </c:pt>
                </c:lvl>
                <c:lvl>
                  <c:pt idx="0">
                    <c:v>Vectorborne and Zoonotics</c:v>
                  </c:pt>
                  <c:pt idx="8">
                    <c:v>Vaccine Preventable </c:v>
                  </c:pt>
                  <c:pt idx="19">
                    <c:v>Sexually Transmitted and Bloodborne</c:v>
                  </c:pt>
                  <c:pt idx="31">
                    <c:v>Outbreaks</c:v>
                  </c:pt>
                  <c:pt idx="34">
                    <c:v>Other</c:v>
                  </c:pt>
                  <c:pt idx="36">
                    <c:v>Enteric, Food and Waterborne</c:v>
                  </c:pt>
                  <c:pt idx="51">
                    <c:v>Direct Contact and Respiratory</c:v>
                  </c:pt>
                </c:lvl>
              </c:multiLvlStrCache>
            </c:multiLvlStrRef>
          </c:cat>
          <c:val>
            <c:numRef>
              <c:f>Visualization!$M$4:$M$69</c:f>
              <c:numCache>
                <c:formatCode>General</c:formatCode>
                <c:ptCount val="5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4</c:v>
                </c:pt>
                <c:pt idx="10">
                  <c:v>29</c:v>
                </c:pt>
                <c:pt idx="11">
                  <c:v>0</c:v>
                </c:pt>
                <c:pt idx="12">
                  <c:v>4</c:v>
                </c:pt>
                <c:pt idx="13">
                  <c:v>780</c:v>
                </c:pt>
                <c:pt idx="14">
                  <c:v>1</c:v>
                </c:pt>
                <c:pt idx="15">
                  <c:v>0</c:v>
                </c:pt>
                <c:pt idx="16">
                  <c:v>12</c:v>
                </c:pt>
                <c:pt idx="17">
                  <c:v>0</c:v>
                </c:pt>
                <c:pt idx="18">
                  <c:v>7</c:v>
                </c:pt>
                <c:pt idx="19">
                  <c:v>0</c:v>
                </c:pt>
                <c:pt idx="20">
                  <c:v>934</c:v>
                </c:pt>
                <c:pt idx="21">
                  <c:v>452</c:v>
                </c:pt>
                <c:pt idx="22">
                  <c:v>28</c:v>
                </c:pt>
                <c:pt idx="23">
                  <c:v>0</c:v>
                </c:pt>
                <c:pt idx="24">
                  <c:v>10</c:v>
                </c:pt>
                <c:pt idx="25">
                  <c:v>29</c:v>
                </c:pt>
                <c:pt idx="26">
                  <c:v>0</c:v>
                </c:pt>
                <c:pt idx="27">
                  <c:v>0</c:v>
                </c:pt>
                <c:pt idx="28">
                  <c:v>63</c:v>
                </c:pt>
                <c:pt idx="29">
                  <c:v>34</c:v>
                </c:pt>
                <c:pt idx="30">
                  <c:v>43</c:v>
                </c:pt>
                <c:pt idx="31">
                  <c:v>39</c:v>
                </c:pt>
                <c:pt idx="32">
                  <c:v>133</c:v>
                </c:pt>
                <c:pt idx="33">
                  <c:v>0</c:v>
                </c:pt>
                <c:pt idx="34">
                  <c:v>0</c:v>
                </c:pt>
                <c:pt idx="35">
                  <c:v>17</c:v>
                </c:pt>
                <c:pt idx="36">
                  <c:v>8</c:v>
                </c:pt>
                <c:pt idx="37">
                  <c:v>32</c:v>
                </c:pt>
                <c:pt idx="38">
                  <c:v>5</c:v>
                </c:pt>
                <c:pt idx="39">
                  <c:v>1</c:v>
                </c:pt>
                <c:pt idx="40">
                  <c:v>2</c:v>
                </c:pt>
                <c:pt idx="41">
                  <c:v>25</c:v>
                </c:pt>
                <c:pt idx="42">
                  <c:v>1</c:v>
                </c:pt>
                <c:pt idx="43">
                  <c:v>1</c:v>
                </c:pt>
                <c:pt idx="44">
                  <c:v>0</c:v>
                </c:pt>
                <c:pt idx="45">
                  <c:v>45</c:v>
                </c:pt>
                <c:pt idx="46">
                  <c:v>7</c:v>
                </c:pt>
                <c:pt idx="47">
                  <c:v>0</c:v>
                </c:pt>
                <c:pt idx="48">
                  <c:v>2</c:v>
                </c:pt>
                <c:pt idx="49">
                  <c:v>5</c:v>
                </c:pt>
                <c:pt idx="50">
                  <c:v>3</c:v>
                </c:pt>
                <c:pt idx="51">
                  <c:v>25</c:v>
                </c:pt>
                <c:pt idx="52">
                  <c:v>0</c:v>
                </c:pt>
                <c:pt idx="53">
                  <c:v>4</c:v>
                </c:pt>
                <c:pt idx="54">
                  <c:v>1</c:v>
                </c:pt>
                <c:pt idx="55">
                  <c:v>30</c:v>
                </c:pt>
                <c:pt idx="56">
                  <c:v>1</c:v>
                </c:pt>
                <c:pt idx="57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77FC-BC4D-A8FA-D30B169C9C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1760632272"/>
        <c:axId val="1727631280"/>
      </c:barChart>
      <c:catAx>
        <c:axId val="1760632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4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727631280"/>
        <c:crosses val="autoZero"/>
        <c:auto val="1"/>
        <c:lblAlgn val="ctr"/>
        <c:lblOffset val="100"/>
        <c:noMultiLvlLbl val="0"/>
      </c:catAx>
      <c:valAx>
        <c:axId val="1727631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4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7606322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4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4800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sv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svg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456464</xdr:colOff>
      <xdr:row>35</xdr:row>
      <xdr:rowOff>404559</xdr:rowOff>
    </xdr:from>
    <xdr:to>
      <xdr:col>26</xdr:col>
      <xdr:colOff>58898</xdr:colOff>
      <xdr:row>40</xdr:row>
      <xdr:rowOff>221237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7AB7B9E-81A7-F047-BB02-5B72F7BF52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272406</xdr:colOff>
      <xdr:row>3</xdr:row>
      <xdr:rowOff>422965</xdr:rowOff>
    </xdr:from>
    <xdr:to>
      <xdr:col>26</xdr:col>
      <xdr:colOff>703101</xdr:colOff>
      <xdr:row>7</xdr:row>
      <xdr:rowOff>294861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802AF53-26CC-4342-A16F-7EC1DB5FD9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456464</xdr:colOff>
      <xdr:row>31</xdr:row>
      <xdr:rowOff>404559</xdr:rowOff>
    </xdr:from>
    <xdr:to>
      <xdr:col>26</xdr:col>
      <xdr:colOff>58898</xdr:colOff>
      <xdr:row>36</xdr:row>
      <xdr:rowOff>221237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BFB40DD-7F87-D2C5-1262-0359520E54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272406</xdr:colOff>
      <xdr:row>3</xdr:row>
      <xdr:rowOff>422965</xdr:rowOff>
    </xdr:from>
    <xdr:to>
      <xdr:col>26</xdr:col>
      <xdr:colOff>703101</xdr:colOff>
      <xdr:row>6</xdr:row>
      <xdr:rowOff>294861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9BDD7499-889D-9130-0999-3386D4160B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3025572</xdr:colOff>
      <xdr:row>132</xdr:row>
      <xdr:rowOff>101600</xdr:rowOff>
    </xdr:from>
    <xdr:to>
      <xdr:col>78</xdr:col>
      <xdr:colOff>139700</xdr:colOff>
      <xdr:row>302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5322B7E-D303-E7E3-A81D-4695221196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0.06778</cdr:x>
      <cdr:y>0.8588</cdr:y>
    </cdr:from>
    <cdr:to>
      <cdr:x>0.11031</cdr:x>
      <cdr:y>0.94599</cdr:y>
    </cdr:to>
    <cdr:pic>
      <cdr:nvPicPr>
        <cdr:cNvPr id="3" name="Graphic 2" descr="Mosquito with solid fill">
          <a:extLst xmlns:a="http://schemas.openxmlformats.org/drawingml/2006/main">
            <a:ext uri="{FF2B5EF4-FFF2-40B4-BE49-F238E27FC236}">
              <a16:creationId xmlns:a16="http://schemas.microsoft.com/office/drawing/2014/main" id="{6433F67C-4369-FE79-DCB6-DA78DF7FAF33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4508500" y="27866772"/>
          <a:ext cx="2829128" cy="2829128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0.22051</cdr:x>
      <cdr:y>0.86301</cdr:y>
    </cdr:from>
    <cdr:to>
      <cdr:x>0.25827</cdr:x>
      <cdr:y>0.94042</cdr:y>
    </cdr:to>
    <cdr:pic>
      <cdr:nvPicPr>
        <cdr:cNvPr id="5" name="Graphic 4" descr="Needle with solid fill">
          <a:extLst xmlns:a="http://schemas.openxmlformats.org/drawingml/2006/main">
            <a:ext uri="{FF2B5EF4-FFF2-40B4-BE49-F238E27FC236}">
              <a16:creationId xmlns:a16="http://schemas.microsoft.com/office/drawing/2014/main" id="{8A2FFD96-8DA1-1C48-C124-06FE112F02D7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15270613" y="28003500"/>
          <a:ext cx="2614725" cy="2511628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0.40358</cdr:x>
      <cdr:y>0.87476</cdr:y>
    </cdr:from>
    <cdr:to>
      <cdr:x>0.43508</cdr:x>
      <cdr:y>0.93933</cdr:y>
    </cdr:to>
    <cdr:pic>
      <cdr:nvPicPr>
        <cdr:cNvPr id="7" name="Graphic 6" descr="Water with solid fill">
          <a:extLst xmlns:a="http://schemas.openxmlformats.org/drawingml/2006/main">
            <a:ext uri="{FF2B5EF4-FFF2-40B4-BE49-F238E27FC236}">
              <a16:creationId xmlns:a16="http://schemas.microsoft.com/office/drawing/2014/main" id="{C5CC81A4-0E00-7B4D-1942-54C246FAF84B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26574075" y="30273097"/>
          <a:ext cx="2074297" cy="2234926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0.68827</cdr:x>
      <cdr:y>0.8815</cdr:y>
    </cdr:from>
    <cdr:to>
      <cdr:x>0.71839</cdr:x>
      <cdr:y>0.94325</cdr:y>
    </cdr:to>
    <cdr:pic>
      <cdr:nvPicPr>
        <cdr:cNvPr id="9" name="Graphic 8" descr="Stomach with solid fill">
          <a:extLst xmlns:a="http://schemas.openxmlformats.org/drawingml/2006/main">
            <a:ext uri="{FF2B5EF4-FFF2-40B4-BE49-F238E27FC236}">
              <a16:creationId xmlns:a16="http://schemas.microsoft.com/office/drawing/2014/main" id="{FFEC112D-92F3-9EC7-74C5-1FC53D719A9E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7">
          <a:extLst>
            <a:ext uri="{96DAC541-7B7A-43D3-8B79-37D633B846F1}">
              <asvg:svgBlip xmlns:asvg="http://schemas.microsoft.com/office/drawing/2016/SVG/main" r:embed="rId8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45783500" y="28603372"/>
          <a:ext cx="2003628" cy="2003628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0.51222</cdr:x>
      <cdr:y>0.8772</cdr:y>
    </cdr:from>
    <cdr:to>
      <cdr:x>0.54658</cdr:x>
      <cdr:y>0.94765</cdr:y>
    </cdr:to>
    <cdr:pic>
      <cdr:nvPicPr>
        <cdr:cNvPr id="11" name="Graphic 10" descr="Network with solid fill">
          <a:extLst xmlns:a="http://schemas.openxmlformats.org/drawingml/2006/main">
            <a:ext uri="{FF2B5EF4-FFF2-40B4-BE49-F238E27FC236}">
              <a16:creationId xmlns:a16="http://schemas.microsoft.com/office/drawing/2014/main" id="{AAFEDF50-EF89-2247-A546-1340E8B9CF29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9">
          <a:extLst>
            <a:ext uri="{96DAC541-7B7A-43D3-8B79-37D633B846F1}">
              <asvg:svgBlip xmlns:asvg="http://schemas.microsoft.com/office/drawing/2016/SVG/main" r:embed="rId1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33727769" y="30357772"/>
          <a:ext cx="2262867" cy="2438102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0.84861</cdr:x>
      <cdr:y>0.8816</cdr:y>
    </cdr:from>
    <cdr:to>
      <cdr:x>0.88106</cdr:x>
      <cdr:y>0.94814</cdr:y>
    </cdr:to>
    <cdr:pic>
      <cdr:nvPicPr>
        <cdr:cNvPr id="13" name="Graphic 12" descr="Lungs with virus with solid fill">
          <a:extLst xmlns:a="http://schemas.openxmlformats.org/drawingml/2006/main">
            <a:ext uri="{FF2B5EF4-FFF2-40B4-BE49-F238E27FC236}">
              <a16:creationId xmlns:a16="http://schemas.microsoft.com/office/drawing/2014/main" id="{14C5848D-E6CB-CB12-AF52-01ECFCF5A436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1">
          <a:extLst>
            <a:ext uri="{96DAC541-7B7A-43D3-8B79-37D633B846F1}">
              <asvg:svgBlip xmlns:asvg="http://schemas.microsoft.com/office/drawing/2016/SVG/main" r:embed="rId12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55877708" y="30510123"/>
          <a:ext cx="2137153" cy="2302651"/>
        </a:xfrm>
        <a:prstGeom xmlns:a="http://schemas.openxmlformats.org/drawingml/2006/main" prst="rect">
          <a:avLst/>
        </a:prstGeom>
      </cdr:spPr>
    </cdr:pic>
  </cdr:relSizeAnchor>
</c:userShape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na Bojagora" refreshedDate="45789.68197824074" createdVersion="8" refreshedVersion="8" minRefreshableVersion="3" recordCount="58" xr:uid="{7957B432-C967-524D-B963-393E7E9C7558}">
  <cacheSource type="worksheet">
    <worksheetSource ref="A1:Q57" sheet="ID_data"/>
  </cacheSource>
  <cacheFields count="17">
    <cacheField name="Type of Disease" numFmtId="0">
      <sharedItems count="8">
        <s v="Sexually Transmitted and Bloodborne"/>
        <s v="Enteric, Food and Waterborne"/>
        <s v="Vaccine Preventable "/>
        <s v="Direct Contact and Respiratory"/>
        <s v="Vectorborne and Zoonotics"/>
        <s v="Other"/>
        <s v="Outbreaks"/>
        <s v="Encephalitis/Meningitis" u="1"/>
      </sharedItems>
    </cacheField>
    <cacheField name="Disease" numFmtId="0">
      <sharedItems count="84">
        <s v="AIDS"/>
        <s v="HIV "/>
        <s v="Chlamydia"/>
        <s v="Gonorrhea"/>
        <s v="Hepatitis B - cases"/>
        <s v="Hepatitis B - carriers"/>
        <s v="Hepatitis B - unclassified"/>
        <s v="Hepatitis C"/>
        <s v="Ophthalmia neonatorum"/>
        <s v="Syphilis, early congenital"/>
        <s v="Syphilis, infectious"/>
        <s v="Syphilis, other"/>
        <s v="Amebiasis"/>
        <s v="Campylobacter enteritis"/>
        <s v="Cryptosporidiosis"/>
        <s v="Cyclosporiasis"/>
        <s v="Food poisoning"/>
        <s v="Giardiasis"/>
        <s v="Hepatitis A"/>
        <s v="Listeriosis"/>
        <s v="Paratyphoid fever"/>
        <s v="Salmonellosis"/>
        <s v="Shigellosis"/>
        <s v="Trichinosis"/>
        <s v="Typhoid fever"/>
        <s v="Verotoxin-producing E. coli infection"/>
        <s v="Yersiniosis"/>
        <s v="Acute flaccid paralysis"/>
        <s v="Adverse vaccine reactions"/>
        <s v="Chickenpox"/>
        <s v="COVID-19"/>
        <s v="Diphtheria"/>
        <s v="Haemophilus influenzae, invasive"/>
        <s v="Influenza"/>
        <s v="Measles"/>
        <s v="Mpox"/>
        <s v="Mumps"/>
        <s v="Pertussis"/>
        <s v="Legionellosis"/>
        <s v="Meningococcal disease, invasive"/>
        <s v="Group A Streptococcal disease, invasive"/>
        <s v="Group B Streptococcal disease, neonatal"/>
        <s v="Pneumococcal disease, invasive"/>
        <s v="TB: Atypical mycobacterial infections"/>
        <s v="Tuberculosis"/>
        <s v="Anaplasmosis"/>
        <s v="Brucellosis"/>
        <s v="Hemorrhagic fevers"/>
        <s v="Lyme disease"/>
        <s v="Q fever"/>
        <s v="Rabies"/>
        <s v="Tularemia"/>
        <s v="West Nile Virus"/>
        <s v="Blastomycosis"/>
        <s v="Carbapenamase-producing Enterobacteriaceae"/>
        <s v="Gastroenteritis"/>
        <s v="Respiratory Infection"/>
        <s v="Other"/>
        <s v="Hepatitis B - unclassified4" u="1"/>
        <s v="Syphilis, other5" u="1"/>
        <s v="COVID-196" u="1"/>
        <s v="Mpox7" u="1"/>
        <s v="Chancroid" u="1"/>
        <s v="Botulism" u="1"/>
        <s v="Cholera" u="1"/>
        <s v="Paralytic shellfish poisoning" u="1"/>
        <s v="Rubella" u="1"/>
        <s v="Rubella, congenital syndrome" u="1"/>
        <s v="Tetanus" u="1"/>
        <s v="Leprosy" u="1"/>
        <s v="Tuberculosis8" u="1"/>
        <s v="Anaplasmosis9" u="1"/>
        <s v="Babesiosis9" u="1"/>
        <s v="Echinococcus multilocularis infection" u="1"/>
        <s v="Powassan virus9" u="1"/>
        <s v="Carbapenamase-producing Enterobacteriaceae3" u="1"/>
        <s v="Transmissible spongiform encephalopathy: Creutzfeldt-Jakob disease" u="1"/>
        <s v="Encephalitis/Meningitis - bacterial10" u="1"/>
        <s v="Encephalitis/Meningitis - viral10" u="1"/>
        <s v="Encephalitis/Meningitis - other10" u="1"/>
        <s v="Encephalitis/Meningitis - unknown10" u="1"/>
        <s v="Gastroenteritis11" u="1"/>
        <s v="Respiratory Infection11" u="1"/>
        <s v="Other11" u="1"/>
      </sharedItems>
    </cacheField>
    <cacheField name="2024 YTD Cases" numFmtId="0">
      <sharedItems containsSemiMixedTypes="0" containsString="0" containsNumber="1" containsInteger="1" minValue="0" maxValue="13945"/>
    </cacheField>
    <cacheField name="2024 YTD Rate1" numFmtId="0">
      <sharedItems containsMixedTypes="1" containsNumber="1" minValue="0" maxValue="470.2"/>
    </cacheField>
    <cacheField name="January" numFmtId="0">
      <sharedItems containsSemiMixedTypes="0" containsString="0" containsNumber="1" containsInteger="1" minValue="0" maxValue="2334"/>
    </cacheField>
    <cacheField name="February" numFmtId="0">
      <sharedItems containsSemiMixedTypes="0" containsString="0" containsNumber="1" containsInteger="1" minValue="0" maxValue="1239"/>
    </cacheField>
    <cacheField name="March" numFmtId="0">
      <sharedItems containsSemiMixedTypes="0" containsString="0" containsNumber="1" containsInteger="1" minValue="0" maxValue="1153"/>
    </cacheField>
    <cacheField name="April" numFmtId="0">
      <sharedItems containsSemiMixedTypes="0" containsString="0" containsNumber="1" containsInteger="1" minValue="0" maxValue="1204"/>
    </cacheField>
    <cacheField name="May" numFmtId="0">
      <sharedItems containsSemiMixedTypes="0" containsString="0" containsNumber="1" containsInteger="1" minValue="0" maxValue="1203"/>
    </cacheField>
    <cacheField name="June" numFmtId="0">
      <sharedItems containsSemiMixedTypes="0" containsString="0" containsNumber="1" containsInteger="1" minValue="0" maxValue="1035"/>
    </cacheField>
    <cacheField name="July" numFmtId="0">
      <sharedItems containsSemiMixedTypes="0" containsString="0" containsNumber="1" containsInteger="1" minValue="0" maxValue="1153"/>
    </cacheField>
    <cacheField name="August" numFmtId="0">
      <sharedItems containsSemiMixedTypes="0" containsString="0" containsNumber="1" containsInteger="1" minValue="0" maxValue="1125"/>
    </cacheField>
    <cacheField name="September" numFmtId="0">
      <sharedItems containsSemiMixedTypes="0" containsString="0" containsNumber="1" containsInteger="1" minValue="0" maxValue="1113"/>
    </cacheField>
    <cacheField name="October" numFmtId="0">
      <sharedItems containsSemiMixedTypes="0" containsString="0" containsNumber="1" containsInteger="1" minValue="0" maxValue="1241"/>
    </cacheField>
    <cacheField name="November" numFmtId="0">
      <sharedItems containsSemiMixedTypes="0" containsString="0" containsNumber="1" containsInteger="1" minValue="0" maxValue="1134"/>
    </cacheField>
    <cacheField name="December" numFmtId="0">
      <sharedItems containsSemiMixedTypes="0" containsString="0" containsNumber="1" containsInteger="1" minValue="0" maxValue="934"/>
    </cacheField>
    <cacheField name="December 3 yr. Average2" numFmtId="0">
      <sharedItems containsMixedTypes="1" containsNumber="1" containsInteger="1" minValue="0" maxValue="2379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8">
  <r>
    <x v="0"/>
    <x v="0"/>
    <n v="8"/>
    <n v="0.3"/>
    <n v="0"/>
    <n v="2"/>
    <n v="0"/>
    <n v="1"/>
    <n v="0"/>
    <n v="1"/>
    <n v="0"/>
    <n v="1"/>
    <n v="1"/>
    <n v="1"/>
    <n v="1"/>
    <n v="0"/>
    <n v="1"/>
  </r>
  <r>
    <x v="0"/>
    <x v="1"/>
    <n v="443"/>
    <n v="14.9"/>
    <n v="48"/>
    <n v="37"/>
    <n v="53"/>
    <n v="46"/>
    <n v="28"/>
    <n v="28"/>
    <n v="43"/>
    <n v="33"/>
    <n v="28"/>
    <n v="41"/>
    <n v="29"/>
    <n v="29"/>
    <n v="37"/>
  </r>
  <r>
    <x v="0"/>
    <x v="2"/>
    <n v="13945"/>
    <n v="470.2"/>
    <n v="1411"/>
    <n v="1239"/>
    <n v="1153"/>
    <n v="1204"/>
    <n v="1203"/>
    <n v="1035"/>
    <n v="1153"/>
    <n v="1125"/>
    <n v="1113"/>
    <n v="1241"/>
    <n v="1134"/>
    <n v="934"/>
    <n v="967"/>
  </r>
  <r>
    <x v="0"/>
    <x v="3"/>
    <n v="7068"/>
    <n v="238.3"/>
    <n v="669"/>
    <n v="556"/>
    <n v="495"/>
    <n v="542"/>
    <n v="549"/>
    <n v="539"/>
    <n v="697"/>
    <n v="667"/>
    <n v="632"/>
    <n v="696"/>
    <n v="574"/>
    <n v="452"/>
    <n v="433"/>
  </r>
  <r>
    <x v="0"/>
    <x v="4"/>
    <n v="10"/>
    <n v="0.3"/>
    <n v="0"/>
    <n v="1"/>
    <n v="3"/>
    <n v="1"/>
    <n v="0"/>
    <n v="0"/>
    <n v="1"/>
    <n v="1"/>
    <n v="1"/>
    <n v="1"/>
    <n v="1"/>
    <n v="0"/>
    <n v="1"/>
  </r>
  <r>
    <x v="0"/>
    <x v="5"/>
    <n v="525"/>
    <n v="17.7"/>
    <n v="49"/>
    <n v="53"/>
    <n v="58"/>
    <n v="44"/>
    <n v="33"/>
    <n v="48"/>
    <n v="41"/>
    <n v="40"/>
    <n v="43"/>
    <n v="42"/>
    <n v="46"/>
    <n v="28"/>
    <n v="29"/>
  </r>
  <r>
    <x v="0"/>
    <x v="6"/>
    <n v="438"/>
    <n v="14.8"/>
    <n v="26"/>
    <n v="25"/>
    <n v="33"/>
    <n v="36"/>
    <n v="47"/>
    <n v="44"/>
    <n v="40"/>
    <n v="31"/>
    <n v="42"/>
    <n v="47"/>
    <n v="33"/>
    <n v="34"/>
    <n v="29"/>
  </r>
  <r>
    <x v="0"/>
    <x v="7"/>
    <n v="470"/>
    <n v="15.8"/>
    <n v="46"/>
    <n v="45"/>
    <n v="52"/>
    <n v="41"/>
    <n v="52"/>
    <n v="41"/>
    <n v="30"/>
    <n v="47"/>
    <n v="35"/>
    <n v="40"/>
    <n v="31"/>
    <n v="10"/>
    <n v="34"/>
  </r>
  <r>
    <x v="0"/>
    <x v="8"/>
    <n v="2"/>
    <s v="&lt;0.1"/>
    <n v="0"/>
    <n v="0"/>
    <n v="1"/>
    <n v="0"/>
    <n v="1"/>
    <n v="0"/>
    <n v="0"/>
    <n v="0"/>
    <n v="0"/>
    <n v="0"/>
    <n v="0"/>
    <n v="0"/>
    <n v="0"/>
  </r>
  <r>
    <x v="0"/>
    <x v="9"/>
    <n v="4"/>
    <n v="0.1"/>
    <n v="0"/>
    <n v="0"/>
    <n v="2"/>
    <n v="0"/>
    <n v="0"/>
    <n v="2"/>
    <n v="0"/>
    <n v="0"/>
    <n v="0"/>
    <n v="0"/>
    <n v="0"/>
    <n v="0"/>
    <n v="0"/>
  </r>
  <r>
    <x v="0"/>
    <x v="10"/>
    <n v="1162"/>
    <n v="39.200000000000003"/>
    <n v="119"/>
    <n v="113"/>
    <n v="108"/>
    <n v="104"/>
    <n v="117"/>
    <n v="113"/>
    <n v="90"/>
    <n v="81"/>
    <n v="90"/>
    <n v="82"/>
    <n v="82"/>
    <n v="63"/>
    <n v="113"/>
  </r>
  <r>
    <x v="0"/>
    <x v="11"/>
    <n v="690"/>
    <n v="23.3"/>
    <n v="57"/>
    <n v="72"/>
    <n v="74"/>
    <n v="61"/>
    <n v="62"/>
    <n v="57"/>
    <n v="50"/>
    <n v="64"/>
    <n v="57"/>
    <n v="51"/>
    <n v="42"/>
    <n v="43"/>
    <n v="48"/>
  </r>
  <r>
    <x v="1"/>
    <x v="12"/>
    <n v="96"/>
    <n v="3.2"/>
    <n v="12"/>
    <n v="13"/>
    <n v="8"/>
    <n v="6"/>
    <n v="8"/>
    <n v="12"/>
    <n v="6"/>
    <n v="4"/>
    <n v="7"/>
    <n v="4"/>
    <n v="8"/>
    <n v="8"/>
    <n v="12"/>
  </r>
  <r>
    <x v="1"/>
    <x v="13"/>
    <n v="507"/>
    <n v="17.100000000000001"/>
    <n v="32"/>
    <n v="30"/>
    <n v="27"/>
    <n v="20"/>
    <n v="48"/>
    <n v="36"/>
    <n v="59"/>
    <n v="68"/>
    <n v="57"/>
    <n v="57"/>
    <n v="41"/>
    <n v="32"/>
    <n v="25"/>
  </r>
  <r>
    <x v="1"/>
    <x v="14"/>
    <n v="170"/>
    <n v="5.7"/>
    <n v="11"/>
    <n v="17"/>
    <n v="7"/>
    <n v="10"/>
    <n v="9"/>
    <n v="17"/>
    <n v="35"/>
    <n v="25"/>
    <n v="19"/>
    <n v="8"/>
    <n v="7"/>
    <n v="5"/>
    <n v="7"/>
  </r>
  <r>
    <x v="1"/>
    <x v="15"/>
    <n v="117"/>
    <n v="3.9"/>
    <n v="1"/>
    <n v="0"/>
    <n v="2"/>
    <n v="1"/>
    <n v="8"/>
    <n v="21"/>
    <n v="60"/>
    <n v="19"/>
    <n v="3"/>
    <n v="0"/>
    <n v="1"/>
    <n v="1"/>
    <n v="3"/>
  </r>
  <r>
    <x v="1"/>
    <x v="16"/>
    <n v="24"/>
    <n v="0.8"/>
    <n v="1"/>
    <n v="0"/>
    <n v="0"/>
    <n v="13"/>
    <n v="7"/>
    <n v="0"/>
    <n v="0"/>
    <n v="0"/>
    <n v="0"/>
    <n v="0"/>
    <n v="1"/>
    <n v="2"/>
    <n v="0"/>
  </r>
  <r>
    <x v="1"/>
    <x v="17"/>
    <n v="331"/>
    <n v="11.2"/>
    <n v="30"/>
    <n v="28"/>
    <n v="15"/>
    <n v="25"/>
    <n v="24"/>
    <n v="27"/>
    <n v="30"/>
    <n v="32"/>
    <n v="36"/>
    <n v="34"/>
    <n v="25"/>
    <n v="25"/>
    <n v="17"/>
  </r>
  <r>
    <x v="1"/>
    <x v="18"/>
    <n v="30"/>
    <n v="1"/>
    <n v="4"/>
    <n v="4"/>
    <n v="4"/>
    <n v="3"/>
    <n v="1"/>
    <n v="1"/>
    <n v="2"/>
    <n v="1"/>
    <n v="2"/>
    <n v="4"/>
    <n v="3"/>
    <n v="1"/>
    <n v="2"/>
  </r>
  <r>
    <x v="1"/>
    <x v="19"/>
    <n v="34"/>
    <n v="1.1000000000000001"/>
    <n v="2"/>
    <n v="1"/>
    <n v="1"/>
    <n v="4"/>
    <n v="1"/>
    <n v="8"/>
    <n v="9"/>
    <n v="1"/>
    <n v="2"/>
    <n v="2"/>
    <n v="2"/>
    <n v="1"/>
    <n v="2"/>
  </r>
  <r>
    <x v="1"/>
    <x v="20"/>
    <n v="14"/>
    <n v="0.5"/>
    <n v="0"/>
    <n v="4"/>
    <n v="2"/>
    <n v="2"/>
    <n v="1"/>
    <n v="2"/>
    <n v="1"/>
    <n v="2"/>
    <n v="0"/>
    <n v="0"/>
    <n v="0"/>
    <n v="0"/>
    <n v="0"/>
  </r>
  <r>
    <x v="1"/>
    <x v="21"/>
    <n v="553"/>
    <n v="18.600000000000001"/>
    <n v="43"/>
    <n v="45"/>
    <n v="30"/>
    <n v="47"/>
    <n v="44"/>
    <n v="29"/>
    <n v="44"/>
    <n v="94"/>
    <n v="44"/>
    <n v="48"/>
    <n v="40"/>
    <n v="45"/>
    <n v="25"/>
  </r>
  <r>
    <x v="1"/>
    <x v="22"/>
    <n v="113"/>
    <n v="3.8"/>
    <n v="9"/>
    <n v="10"/>
    <n v="9"/>
    <n v="6"/>
    <n v="3"/>
    <n v="8"/>
    <n v="10"/>
    <n v="11"/>
    <n v="17"/>
    <n v="14"/>
    <n v="9"/>
    <n v="7"/>
    <n v="9"/>
  </r>
  <r>
    <x v="1"/>
    <x v="23"/>
    <n v="1"/>
    <s v="&lt;0.1"/>
    <n v="0"/>
    <n v="0"/>
    <n v="0"/>
    <n v="1"/>
    <n v="0"/>
    <n v="0"/>
    <n v="0"/>
    <n v="0"/>
    <n v="0"/>
    <n v="0"/>
    <n v="0"/>
    <n v="0"/>
    <n v="0"/>
  </r>
  <r>
    <x v="1"/>
    <x v="24"/>
    <n v="22"/>
    <n v="0.7"/>
    <n v="1"/>
    <n v="4"/>
    <n v="1"/>
    <n v="3"/>
    <n v="4"/>
    <n v="1"/>
    <n v="2"/>
    <n v="1"/>
    <n v="1"/>
    <n v="1"/>
    <n v="1"/>
    <n v="2"/>
    <n v="3"/>
  </r>
  <r>
    <x v="1"/>
    <x v="25"/>
    <n v="41"/>
    <n v="1.4"/>
    <n v="2"/>
    <n v="2"/>
    <n v="2"/>
    <n v="2"/>
    <n v="1"/>
    <n v="7"/>
    <n v="5"/>
    <n v="6"/>
    <n v="2"/>
    <n v="3"/>
    <n v="4"/>
    <n v="5"/>
    <n v="2"/>
  </r>
  <r>
    <x v="1"/>
    <x v="26"/>
    <n v="78"/>
    <n v="2.6"/>
    <n v="6"/>
    <n v="12"/>
    <n v="5"/>
    <n v="8"/>
    <n v="9"/>
    <n v="3"/>
    <n v="6"/>
    <n v="9"/>
    <n v="7"/>
    <n v="8"/>
    <n v="2"/>
    <n v="3"/>
    <n v="4"/>
  </r>
  <r>
    <x v="2"/>
    <x v="27"/>
    <n v="1"/>
    <s v="&lt;0.1"/>
    <n v="0"/>
    <n v="0"/>
    <n v="0"/>
    <n v="0"/>
    <n v="0"/>
    <n v="0"/>
    <n v="0"/>
    <n v="1"/>
    <n v="0"/>
    <n v="0"/>
    <n v="0"/>
    <n v="0"/>
    <n v="0"/>
  </r>
  <r>
    <x v="2"/>
    <x v="28"/>
    <n v="46"/>
    <n v="1.6"/>
    <n v="0"/>
    <n v="0"/>
    <n v="0"/>
    <n v="1"/>
    <n v="2"/>
    <n v="9"/>
    <n v="6"/>
    <n v="1"/>
    <n v="7"/>
    <n v="10"/>
    <n v="6"/>
    <n v="4"/>
    <n v="3"/>
  </r>
  <r>
    <x v="2"/>
    <x v="29"/>
    <n v="367"/>
    <n v="12.4"/>
    <n v="39"/>
    <n v="18"/>
    <n v="15"/>
    <n v="47"/>
    <n v="54"/>
    <n v="33"/>
    <n v="9"/>
    <n v="18"/>
    <n v="30"/>
    <n v="39"/>
    <n v="36"/>
    <n v="29"/>
    <n v="18"/>
  </r>
  <r>
    <x v="2"/>
    <x v="30"/>
    <n v="4870"/>
    <n v="164.2"/>
    <n v="2334"/>
    <n v="672"/>
    <n v="372"/>
    <n v="452"/>
    <n v="1032"/>
    <n v="8"/>
    <n v="0"/>
    <n v="0"/>
    <n v="0"/>
    <n v="0"/>
    <n v="0"/>
    <n v="0"/>
    <n v="23790"/>
  </r>
  <r>
    <x v="2"/>
    <x v="31"/>
    <n v="1"/>
    <s v="&lt;0.1"/>
    <n v="0"/>
    <n v="0"/>
    <n v="0"/>
    <n v="0"/>
    <n v="0"/>
    <n v="0"/>
    <n v="0"/>
    <n v="1"/>
    <n v="0"/>
    <n v="0"/>
    <n v="0"/>
    <n v="0"/>
    <n v="0"/>
  </r>
  <r>
    <x v="2"/>
    <x v="32"/>
    <n v="46"/>
    <n v="1.6"/>
    <n v="8"/>
    <n v="3"/>
    <n v="5"/>
    <n v="3"/>
    <n v="5"/>
    <n v="3"/>
    <n v="2"/>
    <n v="2"/>
    <n v="4"/>
    <n v="2"/>
    <n v="5"/>
    <n v="4"/>
    <n v="7"/>
  </r>
  <r>
    <x v="2"/>
    <x v="33"/>
    <n v="4399"/>
    <n v="148.30000000000001"/>
    <n v="1575"/>
    <n v="747"/>
    <n v="579"/>
    <n v="351"/>
    <n v="130"/>
    <n v="37"/>
    <n v="42"/>
    <n v="7"/>
    <n v="36"/>
    <n v="40"/>
    <n v="75"/>
    <n v="780"/>
    <n v="894"/>
  </r>
  <r>
    <x v="2"/>
    <x v="34"/>
    <n v="10"/>
    <n v="0.3"/>
    <n v="0"/>
    <n v="1"/>
    <n v="2"/>
    <n v="3"/>
    <n v="1"/>
    <n v="1"/>
    <n v="0"/>
    <n v="1"/>
    <n v="0"/>
    <n v="0"/>
    <n v="0"/>
    <n v="1"/>
    <n v="0"/>
  </r>
  <r>
    <x v="2"/>
    <x v="35"/>
    <n v="237"/>
    <n v="8"/>
    <n v="5"/>
    <n v="15"/>
    <n v="5"/>
    <n v="7"/>
    <n v="11"/>
    <n v="22"/>
    <n v="50"/>
    <n v="44"/>
    <n v="33"/>
    <n v="23"/>
    <n v="15"/>
    <n v="7"/>
    <s v="NA"/>
  </r>
  <r>
    <x v="2"/>
    <x v="36"/>
    <n v="11"/>
    <n v="0.4"/>
    <n v="2"/>
    <n v="2"/>
    <n v="3"/>
    <n v="2"/>
    <n v="0"/>
    <n v="0"/>
    <n v="0"/>
    <n v="0"/>
    <n v="0"/>
    <n v="0"/>
    <n v="2"/>
    <n v="0"/>
    <n v="1"/>
  </r>
  <r>
    <x v="2"/>
    <x v="37"/>
    <n v="234"/>
    <n v="7.9"/>
    <n v="14"/>
    <n v="0"/>
    <n v="2"/>
    <n v="9"/>
    <n v="15"/>
    <n v="24"/>
    <n v="36"/>
    <n v="48"/>
    <n v="40"/>
    <n v="22"/>
    <n v="12"/>
    <n v="12"/>
    <s v="&lt;1"/>
  </r>
  <r>
    <x v="3"/>
    <x v="38"/>
    <n v="64"/>
    <n v="2.2000000000000002"/>
    <n v="2"/>
    <n v="2"/>
    <n v="1"/>
    <n v="2"/>
    <n v="6"/>
    <n v="6"/>
    <n v="11"/>
    <n v="12"/>
    <n v="9"/>
    <n v="3"/>
    <n v="6"/>
    <n v="4"/>
    <n v="2"/>
  </r>
  <r>
    <x v="3"/>
    <x v="39"/>
    <n v="17"/>
    <n v="0.6"/>
    <n v="0"/>
    <n v="1"/>
    <n v="3"/>
    <n v="5"/>
    <n v="4"/>
    <n v="1"/>
    <n v="0"/>
    <n v="0"/>
    <n v="0"/>
    <n v="1"/>
    <n v="1"/>
    <n v="1"/>
    <n v="0"/>
  </r>
  <r>
    <x v="3"/>
    <x v="40"/>
    <n v="292"/>
    <n v="9.8000000000000007"/>
    <n v="32"/>
    <n v="40"/>
    <n v="37"/>
    <n v="33"/>
    <n v="34"/>
    <n v="16"/>
    <n v="14"/>
    <n v="14"/>
    <n v="16"/>
    <n v="16"/>
    <n v="15"/>
    <n v="25"/>
    <n v="25"/>
  </r>
  <r>
    <x v="3"/>
    <x v="41"/>
    <n v="3"/>
    <n v="0.1"/>
    <n v="0"/>
    <n v="1"/>
    <n v="0"/>
    <n v="1"/>
    <n v="1"/>
    <n v="0"/>
    <n v="0"/>
    <n v="0"/>
    <n v="0"/>
    <n v="0"/>
    <n v="0"/>
    <n v="0"/>
    <n v="1"/>
  </r>
  <r>
    <x v="3"/>
    <x v="42"/>
    <n v="273"/>
    <n v="9.1999999999999993"/>
    <n v="28"/>
    <n v="39"/>
    <n v="29"/>
    <n v="30"/>
    <n v="21"/>
    <n v="8"/>
    <n v="17"/>
    <n v="12"/>
    <n v="18"/>
    <n v="28"/>
    <n v="13"/>
    <n v="30"/>
    <n v="30"/>
  </r>
  <r>
    <x v="3"/>
    <x v="43"/>
    <n v="38"/>
    <n v="1.3"/>
    <n v="12"/>
    <n v="2"/>
    <n v="1"/>
    <n v="3"/>
    <n v="3"/>
    <n v="3"/>
    <n v="7"/>
    <n v="2"/>
    <n v="3"/>
    <n v="1"/>
    <n v="0"/>
    <n v="1"/>
    <n v="4"/>
  </r>
  <r>
    <x v="3"/>
    <x v="44"/>
    <n v="376"/>
    <n v="12.7"/>
    <n v="25"/>
    <n v="27"/>
    <n v="27"/>
    <n v="31"/>
    <n v="45"/>
    <n v="39"/>
    <n v="36"/>
    <n v="30"/>
    <n v="37"/>
    <n v="37"/>
    <n v="25"/>
    <n v="17"/>
    <n v="26"/>
  </r>
  <r>
    <x v="4"/>
    <x v="45"/>
    <n v="9"/>
    <n v="0.3"/>
    <n v="0"/>
    <n v="0"/>
    <n v="0"/>
    <n v="0"/>
    <n v="0"/>
    <n v="2"/>
    <n v="4"/>
    <n v="1"/>
    <n v="0"/>
    <n v="1"/>
    <n v="1"/>
    <n v="0"/>
    <s v="NA"/>
  </r>
  <r>
    <x v="4"/>
    <x v="46"/>
    <n v="3"/>
    <n v="0.1"/>
    <n v="0"/>
    <n v="0"/>
    <n v="0"/>
    <n v="0"/>
    <n v="0"/>
    <n v="1"/>
    <n v="1"/>
    <n v="0"/>
    <n v="0"/>
    <n v="1"/>
    <n v="0"/>
    <n v="0"/>
    <n v="0"/>
  </r>
  <r>
    <x v="4"/>
    <x v="47"/>
    <n v="2"/>
    <s v="&lt;0.1"/>
    <n v="0"/>
    <n v="0"/>
    <n v="0"/>
    <n v="0"/>
    <n v="0"/>
    <n v="0"/>
    <n v="0"/>
    <n v="1"/>
    <n v="0"/>
    <n v="0"/>
    <n v="0"/>
    <n v="1"/>
    <n v="0"/>
  </r>
  <r>
    <x v="4"/>
    <x v="48"/>
    <n v="221"/>
    <n v="7.5"/>
    <n v="0"/>
    <n v="4"/>
    <n v="0"/>
    <n v="1"/>
    <n v="15"/>
    <n v="37"/>
    <n v="41"/>
    <n v="49"/>
    <n v="35"/>
    <n v="30"/>
    <n v="7"/>
    <n v="2"/>
    <n v="2"/>
  </r>
  <r>
    <x v="4"/>
    <x v="49"/>
    <n v="5"/>
    <n v="0.2"/>
    <n v="0"/>
    <n v="0"/>
    <n v="0"/>
    <n v="0"/>
    <n v="1"/>
    <n v="0"/>
    <n v="2"/>
    <n v="1"/>
    <n v="0"/>
    <n v="0"/>
    <n v="0"/>
    <n v="1"/>
    <n v="0"/>
  </r>
  <r>
    <x v="4"/>
    <x v="50"/>
    <n v="0"/>
    <n v="0"/>
    <n v="0"/>
    <n v="0"/>
    <n v="0"/>
    <n v="0"/>
    <n v="0"/>
    <n v="0"/>
    <n v="0"/>
    <n v="0"/>
    <n v="0"/>
    <n v="0"/>
    <n v="0"/>
    <n v="0"/>
    <n v="0"/>
  </r>
  <r>
    <x v="4"/>
    <x v="51"/>
    <n v="0"/>
    <n v="0"/>
    <n v="0"/>
    <n v="0"/>
    <n v="0"/>
    <n v="0"/>
    <n v="0"/>
    <n v="0"/>
    <n v="0"/>
    <n v="0"/>
    <n v="0"/>
    <n v="0"/>
    <n v="0"/>
    <n v="0"/>
    <n v="0"/>
  </r>
  <r>
    <x v="4"/>
    <x v="52"/>
    <n v="14"/>
    <n v="0.5"/>
    <n v="0"/>
    <n v="1"/>
    <n v="0"/>
    <n v="0"/>
    <n v="1"/>
    <n v="0"/>
    <n v="1"/>
    <n v="6"/>
    <n v="4"/>
    <n v="1"/>
    <n v="0"/>
    <n v="0"/>
    <n v="0"/>
  </r>
  <r>
    <x v="5"/>
    <x v="53"/>
    <n v="4"/>
    <n v="0.1"/>
    <n v="0"/>
    <n v="0"/>
    <n v="0"/>
    <n v="1"/>
    <n v="1"/>
    <n v="0"/>
    <n v="0"/>
    <n v="0"/>
    <n v="2"/>
    <n v="0"/>
    <n v="0"/>
    <n v="0"/>
    <s v="&lt;1"/>
  </r>
  <r>
    <x v="5"/>
    <x v="54"/>
    <n v="325"/>
    <n v="11"/>
    <n v="21"/>
    <n v="29"/>
    <n v="18"/>
    <n v="34"/>
    <n v="23"/>
    <n v="30"/>
    <n v="40"/>
    <n v="28"/>
    <n v="21"/>
    <n v="29"/>
    <n v="35"/>
    <n v="17"/>
    <n v="15"/>
  </r>
  <r>
    <x v="6"/>
    <x v="55"/>
    <n v="215"/>
    <n v="7.2"/>
    <n v="30"/>
    <n v="29"/>
    <n v="26"/>
    <n v="23"/>
    <n v="15"/>
    <n v="6"/>
    <n v="8"/>
    <n v="7"/>
    <n v="5"/>
    <n v="9"/>
    <n v="18"/>
    <n v="39"/>
    <n v="14"/>
  </r>
  <r>
    <x v="6"/>
    <x v="56"/>
    <n v="965"/>
    <n v="32.5"/>
    <n v="144"/>
    <n v="60"/>
    <n v="51"/>
    <n v="70"/>
    <n v="84"/>
    <n v="50"/>
    <n v="63"/>
    <n v="79"/>
    <n v="79"/>
    <n v="81"/>
    <n v="71"/>
    <n v="133"/>
    <n v="204"/>
  </r>
  <r>
    <x v="6"/>
    <x v="57"/>
    <n v="5"/>
    <n v="0.2"/>
    <n v="0"/>
    <n v="0"/>
    <n v="0"/>
    <n v="0"/>
    <n v="1"/>
    <n v="1"/>
    <n v="1"/>
    <n v="0"/>
    <n v="1"/>
    <n v="0"/>
    <n v="1"/>
    <n v="0"/>
    <s v="&lt;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470588-410E-0C48-A192-4FDB3651A8C5}" name="PivotTable1" cacheId="2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7">
  <location ref="A3:M69" firstHeaderRow="0" firstDataRow="1" firstDataCol="1"/>
  <pivotFields count="17">
    <pivotField axis="axisRow" showAll="0" sortType="descending">
      <items count="9">
        <item x="4"/>
        <item x="2"/>
        <item x="0"/>
        <item x="6"/>
        <item x="5"/>
        <item x="1"/>
        <item m="1" x="7"/>
        <item x="3"/>
        <item t="default"/>
      </items>
    </pivotField>
    <pivotField axis="axisRow" showAll="0">
      <items count="85">
        <item x="27"/>
        <item x="28"/>
        <item x="0"/>
        <item x="12"/>
        <item m="1" x="71"/>
        <item m="1" x="72"/>
        <item x="53"/>
        <item m="1" x="63"/>
        <item x="46"/>
        <item x="13"/>
        <item m="1" x="75"/>
        <item m="1" x="62"/>
        <item x="29"/>
        <item x="2"/>
        <item m="1" x="64"/>
        <item m="1" x="60"/>
        <item x="14"/>
        <item x="15"/>
        <item x="31"/>
        <item m="1" x="73"/>
        <item m="1" x="77"/>
        <item m="1" x="79"/>
        <item m="1" x="80"/>
        <item m="1" x="78"/>
        <item x="16"/>
        <item m="1" x="81"/>
        <item x="17"/>
        <item x="3"/>
        <item x="40"/>
        <item x="41"/>
        <item x="32"/>
        <item x="47"/>
        <item x="18"/>
        <item x="5"/>
        <item x="4"/>
        <item m="1" x="58"/>
        <item x="7"/>
        <item x="1"/>
        <item x="33"/>
        <item x="38"/>
        <item m="1" x="69"/>
        <item x="19"/>
        <item x="48"/>
        <item x="34"/>
        <item x="39"/>
        <item m="1" x="61"/>
        <item x="36"/>
        <item x="8"/>
        <item m="1" x="83"/>
        <item m="1" x="65"/>
        <item x="20"/>
        <item x="37"/>
        <item x="42"/>
        <item m="1" x="74"/>
        <item x="49"/>
        <item x="50"/>
        <item m="1" x="82"/>
        <item m="1" x="66"/>
        <item m="1" x="67"/>
        <item x="21"/>
        <item x="22"/>
        <item x="9"/>
        <item x="10"/>
        <item m="1" x="59"/>
        <item x="43"/>
        <item m="1" x="68"/>
        <item m="1" x="76"/>
        <item x="23"/>
        <item m="1" x="70"/>
        <item x="51"/>
        <item x="24"/>
        <item x="25"/>
        <item x="52"/>
        <item x="26"/>
        <item x="44"/>
        <item x="45"/>
        <item x="54"/>
        <item x="55"/>
        <item x="56"/>
        <item x="57"/>
        <item x="6"/>
        <item x="11"/>
        <item x="30"/>
        <item x="35"/>
        <item t="default"/>
      </items>
    </pivotField>
    <pivotField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showAll="0"/>
  </pivotFields>
  <rowFields count="2">
    <field x="0"/>
    <field x="1"/>
  </rowFields>
  <rowItems count="66">
    <i>
      <x/>
    </i>
    <i r="1">
      <x v="8"/>
    </i>
    <i r="1">
      <x v="31"/>
    </i>
    <i r="1">
      <x v="42"/>
    </i>
    <i r="1">
      <x v="54"/>
    </i>
    <i r="1">
      <x v="55"/>
    </i>
    <i r="1">
      <x v="69"/>
    </i>
    <i r="1">
      <x v="72"/>
    </i>
    <i r="1">
      <x v="75"/>
    </i>
    <i>
      <x v="1"/>
    </i>
    <i r="1">
      <x/>
    </i>
    <i r="1">
      <x v="1"/>
    </i>
    <i r="1">
      <x v="12"/>
    </i>
    <i r="1">
      <x v="18"/>
    </i>
    <i r="1">
      <x v="30"/>
    </i>
    <i r="1">
      <x v="38"/>
    </i>
    <i r="1">
      <x v="43"/>
    </i>
    <i r="1">
      <x v="46"/>
    </i>
    <i r="1">
      <x v="51"/>
    </i>
    <i r="1">
      <x v="82"/>
    </i>
    <i r="1">
      <x v="83"/>
    </i>
    <i>
      <x v="2"/>
    </i>
    <i r="1">
      <x v="2"/>
    </i>
    <i r="1">
      <x v="13"/>
    </i>
    <i r="1">
      <x v="27"/>
    </i>
    <i r="1">
      <x v="33"/>
    </i>
    <i r="1">
      <x v="34"/>
    </i>
    <i r="1">
      <x v="36"/>
    </i>
    <i r="1">
      <x v="37"/>
    </i>
    <i r="1">
      <x v="47"/>
    </i>
    <i r="1">
      <x v="61"/>
    </i>
    <i r="1">
      <x v="62"/>
    </i>
    <i r="1">
      <x v="80"/>
    </i>
    <i r="1">
      <x v="81"/>
    </i>
    <i>
      <x v="3"/>
    </i>
    <i r="1">
      <x v="77"/>
    </i>
    <i r="1">
      <x v="78"/>
    </i>
    <i r="1">
      <x v="79"/>
    </i>
    <i>
      <x v="4"/>
    </i>
    <i r="1">
      <x v="6"/>
    </i>
    <i r="1">
      <x v="76"/>
    </i>
    <i>
      <x v="5"/>
    </i>
    <i r="1">
      <x v="3"/>
    </i>
    <i r="1">
      <x v="9"/>
    </i>
    <i r="1">
      <x v="16"/>
    </i>
    <i r="1">
      <x v="17"/>
    </i>
    <i r="1">
      <x v="24"/>
    </i>
    <i r="1">
      <x v="26"/>
    </i>
    <i r="1">
      <x v="32"/>
    </i>
    <i r="1">
      <x v="41"/>
    </i>
    <i r="1">
      <x v="50"/>
    </i>
    <i r="1">
      <x v="59"/>
    </i>
    <i r="1">
      <x v="60"/>
    </i>
    <i r="1">
      <x v="67"/>
    </i>
    <i r="1">
      <x v="70"/>
    </i>
    <i r="1">
      <x v="71"/>
    </i>
    <i r="1">
      <x v="73"/>
    </i>
    <i>
      <x v="7"/>
    </i>
    <i r="1">
      <x v="28"/>
    </i>
    <i r="1">
      <x v="29"/>
    </i>
    <i r="1">
      <x v="39"/>
    </i>
    <i r="1">
      <x v="44"/>
    </i>
    <i r="1">
      <x v="52"/>
    </i>
    <i r="1">
      <x v="64"/>
    </i>
    <i r="1">
      <x v="74"/>
    </i>
    <i t="grand">
      <x/>
    </i>
  </rowItems>
  <colFields count="1">
    <field x="-2"/>
  </colFields>
  <colItems count="12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</colItems>
  <dataFields count="12">
    <dataField name="Sum of January" fld="4" baseField="0" baseItem="0"/>
    <dataField name="Sum of February" fld="5" baseField="0" baseItem="0"/>
    <dataField name="Sum of March" fld="6" baseField="0" baseItem="0"/>
    <dataField name="Sum of April" fld="7" baseField="0" baseItem="0"/>
    <dataField name="Sum of May" fld="8" baseField="0" baseItem="0"/>
    <dataField name="Sum of June" fld="9" baseField="0" baseItem="0"/>
    <dataField name="Sum of July" fld="10" baseField="0" baseItem="0"/>
    <dataField name="Sum of August" fld="11" baseField="0" baseItem="0"/>
    <dataField name="Sum of September" fld="12" baseField="0" baseItem="0"/>
    <dataField name="Sum of October" fld="13" baseField="0" baseItem="0"/>
    <dataField name="Sum of November" fld="14" baseField="0" baseItem="0"/>
    <dataField name="Sum of December" fld="15" baseField="0" baseItem="0"/>
  </dataFields>
  <chartFormats count="1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0" format="5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0" format="6" series="1">
      <pivotArea type="data" outline="0" fieldPosition="0">
        <references count="1">
          <reference field="4294967294" count="1" selected="0">
            <x v="6"/>
          </reference>
        </references>
      </pivotArea>
    </chartFormat>
    <chartFormat chart="0" format="7" series="1">
      <pivotArea type="data" outline="0" fieldPosition="0">
        <references count="1">
          <reference field="4294967294" count="1" selected="0">
            <x v="7"/>
          </reference>
        </references>
      </pivotArea>
    </chartFormat>
    <chartFormat chart="0" format="8" series="1">
      <pivotArea type="data" outline="0" fieldPosition="0">
        <references count="1">
          <reference field="4294967294" count="1" selected="0">
            <x v="8"/>
          </reference>
        </references>
      </pivotArea>
    </chartFormat>
    <chartFormat chart="0" format="9" series="1">
      <pivotArea type="data" outline="0" fieldPosition="0">
        <references count="1">
          <reference field="4294967294" count="1" selected="0">
            <x v="9"/>
          </reference>
        </references>
      </pivotArea>
    </chartFormat>
    <chartFormat chart="0" format="10" series="1">
      <pivotArea type="data" outline="0" fieldPosition="0">
        <references count="1">
          <reference field="4294967294" count="1" selected="0">
            <x v="10"/>
          </reference>
        </references>
      </pivotArea>
    </chartFormat>
    <chartFormat chart="0" format="11" series="1">
      <pivotArea type="data" outline="0" fieldPosition="0">
        <references count="1">
          <reference field="4294967294" count="1" selected="0">
            <x v="1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9EB985-FA52-544E-A5CF-58BAFE588890}">
  <dimension ref="A1:AE88"/>
  <sheetViews>
    <sheetView zoomScale="87" zoomScaleNormal="130" workbookViewId="0">
      <selection activeCell="B73" sqref="B73"/>
    </sheetView>
  </sheetViews>
  <sheetFormatPr baseColWidth="10" defaultRowHeight="16"/>
  <sheetData>
    <row r="1" spans="1:31" ht="129" thickBot="1">
      <c r="A1" s="218" t="s">
        <v>103</v>
      </c>
      <c r="B1" s="205" t="s">
        <v>0</v>
      </c>
      <c r="C1" s="206" t="s">
        <v>1</v>
      </c>
      <c r="D1" s="207" t="s">
        <v>2</v>
      </c>
      <c r="E1" s="208" t="s">
        <v>3</v>
      </c>
      <c r="F1" s="209" t="s">
        <v>4</v>
      </c>
      <c r="G1" s="210" t="s">
        <v>5</v>
      </c>
      <c r="H1" s="210" t="s">
        <v>6</v>
      </c>
      <c r="I1" s="209" t="s">
        <v>7</v>
      </c>
      <c r="J1" s="211" t="s">
        <v>8</v>
      </c>
      <c r="K1" s="211" t="s">
        <v>9</v>
      </c>
      <c r="L1" s="211" t="s">
        <v>10</v>
      </c>
      <c r="M1" s="211" t="s">
        <v>11</v>
      </c>
      <c r="N1" s="211" t="s">
        <v>12</v>
      </c>
      <c r="O1" s="212" t="s">
        <v>13</v>
      </c>
      <c r="P1" s="211" t="s">
        <v>14</v>
      </c>
      <c r="Q1" s="213" t="s">
        <v>15</v>
      </c>
      <c r="R1" s="2"/>
      <c r="S1" s="1"/>
      <c r="T1" s="220" t="s">
        <v>104</v>
      </c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 ht="57" thickBot="1">
      <c r="A2" s="3" t="s">
        <v>16</v>
      </c>
      <c r="B2" s="4" t="s">
        <v>17</v>
      </c>
      <c r="C2" s="5">
        <v>8</v>
      </c>
      <c r="D2" s="6">
        <v>0.3</v>
      </c>
      <c r="E2" s="7">
        <v>0</v>
      </c>
      <c r="F2" s="8">
        <v>2</v>
      </c>
      <c r="G2" s="9">
        <v>0</v>
      </c>
      <c r="H2" s="10">
        <v>1</v>
      </c>
      <c r="I2" s="10">
        <v>0</v>
      </c>
      <c r="J2" s="10">
        <v>1</v>
      </c>
      <c r="K2" s="10">
        <v>0</v>
      </c>
      <c r="L2" s="10">
        <v>1</v>
      </c>
      <c r="M2" s="10">
        <v>1</v>
      </c>
      <c r="N2" s="10">
        <v>1</v>
      </c>
      <c r="O2" s="11">
        <v>1</v>
      </c>
      <c r="P2" s="12">
        <v>0</v>
      </c>
      <c r="Q2" s="13">
        <v>1</v>
      </c>
      <c r="R2" s="15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</row>
    <row r="3" spans="1:31" ht="57" thickBot="1">
      <c r="A3" s="3" t="s">
        <v>16</v>
      </c>
      <c r="B3" s="17" t="s">
        <v>18</v>
      </c>
      <c r="C3" s="18">
        <v>443</v>
      </c>
      <c r="D3" s="19">
        <v>14.9</v>
      </c>
      <c r="E3" s="20">
        <v>48</v>
      </c>
      <c r="F3" s="21">
        <v>37</v>
      </c>
      <c r="G3" s="22">
        <v>53</v>
      </c>
      <c r="H3" s="23">
        <v>46</v>
      </c>
      <c r="I3" s="23">
        <v>28</v>
      </c>
      <c r="J3" s="23">
        <v>28</v>
      </c>
      <c r="K3" s="23">
        <v>43</v>
      </c>
      <c r="L3" s="23">
        <v>33</v>
      </c>
      <c r="M3" s="23">
        <v>28</v>
      </c>
      <c r="N3" s="23">
        <v>41</v>
      </c>
      <c r="O3" s="24">
        <v>29</v>
      </c>
      <c r="P3" s="25">
        <v>29</v>
      </c>
      <c r="Q3" s="26">
        <v>37</v>
      </c>
      <c r="R3" s="15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</row>
    <row r="4" spans="1:31" ht="57" thickBot="1">
      <c r="A4" s="3" t="s">
        <v>16</v>
      </c>
      <c r="B4" s="17" t="s">
        <v>19</v>
      </c>
      <c r="C4" s="18">
        <v>13945</v>
      </c>
      <c r="D4" s="19">
        <v>470.2</v>
      </c>
      <c r="E4" s="20">
        <v>1411</v>
      </c>
      <c r="F4" s="21">
        <v>1239</v>
      </c>
      <c r="G4" s="22">
        <v>1153</v>
      </c>
      <c r="H4" s="23">
        <v>1204</v>
      </c>
      <c r="I4" s="23">
        <v>1203</v>
      </c>
      <c r="J4" s="23">
        <v>1035</v>
      </c>
      <c r="K4" s="23">
        <v>1153</v>
      </c>
      <c r="L4" s="23">
        <v>1125</v>
      </c>
      <c r="M4" s="23">
        <v>1113</v>
      </c>
      <c r="N4" s="23">
        <v>1241</v>
      </c>
      <c r="O4" s="24">
        <v>1134</v>
      </c>
      <c r="P4" s="25">
        <v>934</v>
      </c>
      <c r="Q4" s="26">
        <v>967</v>
      </c>
      <c r="R4" s="15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</row>
    <row r="5" spans="1:31" ht="57" thickBot="1">
      <c r="A5" s="3" t="s">
        <v>16</v>
      </c>
      <c r="B5" s="17" t="s">
        <v>20</v>
      </c>
      <c r="C5" s="27">
        <v>0</v>
      </c>
      <c r="D5" s="28">
        <v>0</v>
      </c>
      <c r="E5" s="20">
        <v>0</v>
      </c>
      <c r="F5" s="21">
        <v>0</v>
      </c>
      <c r="G5" s="22">
        <v>0</v>
      </c>
      <c r="H5" s="23">
        <v>0</v>
      </c>
      <c r="I5" s="23">
        <v>0</v>
      </c>
      <c r="J5" s="23">
        <v>0</v>
      </c>
      <c r="K5" s="23">
        <v>0</v>
      </c>
      <c r="L5" s="23">
        <v>0</v>
      </c>
      <c r="M5" s="23">
        <v>0</v>
      </c>
      <c r="N5" s="23">
        <v>0</v>
      </c>
      <c r="O5" s="24">
        <v>0</v>
      </c>
      <c r="P5" s="25">
        <v>0</v>
      </c>
      <c r="Q5" s="26">
        <v>0</v>
      </c>
      <c r="R5" s="15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</row>
    <row r="6" spans="1:31" ht="57" thickBot="1">
      <c r="A6" s="3" t="s">
        <v>16</v>
      </c>
      <c r="B6" s="17" t="s">
        <v>21</v>
      </c>
      <c r="C6" s="18">
        <v>7068</v>
      </c>
      <c r="D6" s="19">
        <v>238.3</v>
      </c>
      <c r="E6" s="20">
        <v>669</v>
      </c>
      <c r="F6" s="21">
        <v>556</v>
      </c>
      <c r="G6" s="22">
        <v>495</v>
      </c>
      <c r="H6" s="23">
        <v>542</v>
      </c>
      <c r="I6" s="23">
        <v>549</v>
      </c>
      <c r="J6" s="23">
        <v>539</v>
      </c>
      <c r="K6" s="23">
        <v>697</v>
      </c>
      <c r="L6" s="23">
        <v>667</v>
      </c>
      <c r="M6" s="23">
        <v>632</v>
      </c>
      <c r="N6" s="23">
        <v>696</v>
      </c>
      <c r="O6" s="24">
        <v>574</v>
      </c>
      <c r="P6" s="25">
        <v>452</v>
      </c>
      <c r="Q6" s="26">
        <v>433</v>
      </c>
      <c r="R6" s="15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</row>
    <row r="7" spans="1:31" ht="57" thickBot="1">
      <c r="A7" s="3" t="s">
        <v>16</v>
      </c>
      <c r="B7" s="17" t="s">
        <v>22</v>
      </c>
      <c r="C7" s="29">
        <v>10</v>
      </c>
      <c r="D7" s="19">
        <v>0.3</v>
      </c>
      <c r="E7" s="20">
        <v>0</v>
      </c>
      <c r="F7" s="21">
        <v>1</v>
      </c>
      <c r="G7" s="22">
        <v>3</v>
      </c>
      <c r="H7" s="23">
        <v>1</v>
      </c>
      <c r="I7" s="23">
        <v>0</v>
      </c>
      <c r="J7" s="23">
        <v>0</v>
      </c>
      <c r="K7" s="23">
        <v>1</v>
      </c>
      <c r="L7" s="23">
        <v>1</v>
      </c>
      <c r="M7" s="23">
        <v>1</v>
      </c>
      <c r="N7" s="23">
        <v>1</v>
      </c>
      <c r="O7" s="24">
        <v>1</v>
      </c>
      <c r="P7" s="25">
        <v>0</v>
      </c>
      <c r="Q7" s="26">
        <v>1</v>
      </c>
      <c r="R7" s="15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</row>
    <row r="8" spans="1:31" ht="57" thickBot="1">
      <c r="A8" s="3" t="s">
        <v>16</v>
      </c>
      <c r="B8" s="17" t="s">
        <v>23</v>
      </c>
      <c r="C8" s="18">
        <v>525</v>
      </c>
      <c r="D8" s="19">
        <v>17.7</v>
      </c>
      <c r="E8" s="20">
        <v>49</v>
      </c>
      <c r="F8" s="21">
        <v>53</v>
      </c>
      <c r="G8" s="22">
        <v>58</v>
      </c>
      <c r="H8" s="23">
        <v>44</v>
      </c>
      <c r="I8" s="23">
        <v>33</v>
      </c>
      <c r="J8" s="23">
        <v>48</v>
      </c>
      <c r="K8" s="23">
        <v>41</v>
      </c>
      <c r="L8" s="23">
        <v>40</v>
      </c>
      <c r="M8" s="23">
        <v>43</v>
      </c>
      <c r="N8" s="23">
        <v>42</v>
      </c>
      <c r="O8" s="24">
        <v>46</v>
      </c>
      <c r="P8" s="25">
        <v>28</v>
      </c>
      <c r="Q8" s="26">
        <v>29</v>
      </c>
      <c r="R8" s="15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</row>
    <row r="9" spans="1:31" ht="59" thickBot="1">
      <c r="A9" s="3" t="s">
        <v>16</v>
      </c>
      <c r="B9" s="30" t="s">
        <v>24</v>
      </c>
      <c r="C9" s="18">
        <v>438</v>
      </c>
      <c r="D9" s="19">
        <v>14.8</v>
      </c>
      <c r="E9" s="20">
        <v>26</v>
      </c>
      <c r="F9" s="21">
        <v>25</v>
      </c>
      <c r="G9" s="22">
        <v>33</v>
      </c>
      <c r="H9" s="23">
        <v>36</v>
      </c>
      <c r="I9" s="23">
        <v>47</v>
      </c>
      <c r="J9" s="23">
        <v>44</v>
      </c>
      <c r="K9" s="23">
        <v>40</v>
      </c>
      <c r="L9" s="23">
        <v>31</v>
      </c>
      <c r="M9" s="23">
        <v>42</v>
      </c>
      <c r="N9" s="23">
        <v>47</v>
      </c>
      <c r="O9" s="24">
        <v>33</v>
      </c>
      <c r="P9" s="25">
        <v>34</v>
      </c>
      <c r="Q9" s="26">
        <v>29</v>
      </c>
      <c r="R9" s="15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</row>
    <row r="10" spans="1:31" ht="57" thickBot="1">
      <c r="A10" s="3" t="s">
        <v>16</v>
      </c>
      <c r="B10" s="31" t="s">
        <v>25</v>
      </c>
      <c r="C10" s="32">
        <v>470</v>
      </c>
      <c r="D10" s="33">
        <v>15.8</v>
      </c>
      <c r="E10" s="34">
        <v>46</v>
      </c>
      <c r="F10" s="35">
        <v>45</v>
      </c>
      <c r="G10" s="36">
        <v>52</v>
      </c>
      <c r="H10" s="37">
        <v>41</v>
      </c>
      <c r="I10" s="37">
        <v>52</v>
      </c>
      <c r="J10" s="37">
        <v>41</v>
      </c>
      <c r="K10" s="37">
        <v>30</v>
      </c>
      <c r="L10" s="37">
        <v>47</v>
      </c>
      <c r="M10" s="37">
        <v>35</v>
      </c>
      <c r="N10" s="37">
        <v>40</v>
      </c>
      <c r="O10" s="38">
        <v>31</v>
      </c>
      <c r="P10" s="39">
        <v>10</v>
      </c>
      <c r="Q10" s="40">
        <v>34</v>
      </c>
      <c r="R10" s="15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</row>
    <row r="11" spans="1:31" ht="57" thickBot="1">
      <c r="A11" s="3" t="s">
        <v>16</v>
      </c>
      <c r="B11" s="30" t="s">
        <v>26</v>
      </c>
      <c r="C11" s="18">
        <v>2</v>
      </c>
      <c r="D11" s="19" t="s">
        <v>27</v>
      </c>
      <c r="E11" s="20">
        <v>0</v>
      </c>
      <c r="F11" s="21">
        <v>0</v>
      </c>
      <c r="G11" s="22">
        <v>1</v>
      </c>
      <c r="H11" s="23">
        <v>0</v>
      </c>
      <c r="I11" s="23">
        <v>1</v>
      </c>
      <c r="J11" s="23">
        <v>0</v>
      </c>
      <c r="K11" s="23">
        <v>0</v>
      </c>
      <c r="L11" s="23">
        <v>0</v>
      </c>
      <c r="M11" s="23">
        <v>0</v>
      </c>
      <c r="N11" s="23">
        <v>0</v>
      </c>
      <c r="O11" s="24">
        <v>0</v>
      </c>
      <c r="P11" s="25">
        <v>0</v>
      </c>
      <c r="Q11" s="26">
        <v>0</v>
      </c>
      <c r="R11" s="15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</row>
    <row r="12" spans="1:31" ht="57" thickBot="1">
      <c r="A12" s="3" t="s">
        <v>16</v>
      </c>
      <c r="B12" s="30" t="s">
        <v>28</v>
      </c>
      <c r="C12" s="41">
        <v>4</v>
      </c>
      <c r="D12" s="19">
        <v>0.1</v>
      </c>
      <c r="E12" s="20">
        <v>0</v>
      </c>
      <c r="F12" s="21">
        <v>0</v>
      </c>
      <c r="G12" s="22">
        <v>2</v>
      </c>
      <c r="H12" s="23">
        <v>0</v>
      </c>
      <c r="I12" s="23">
        <v>0</v>
      </c>
      <c r="J12" s="23">
        <v>2</v>
      </c>
      <c r="K12" s="23">
        <v>0</v>
      </c>
      <c r="L12" s="23">
        <v>0</v>
      </c>
      <c r="M12" s="23">
        <v>0</v>
      </c>
      <c r="N12" s="23">
        <v>0</v>
      </c>
      <c r="O12" s="24">
        <v>0</v>
      </c>
      <c r="P12" s="25">
        <v>0</v>
      </c>
      <c r="Q12" s="26">
        <v>0</v>
      </c>
      <c r="R12" s="15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</row>
    <row r="13" spans="1:31" ht="57" thickBot="1">
      <c r="A13" s="3" t="s">
        <v>16</v>
      </c>
      <c r="B13" s="30" t="s">
        <v>29</v>
      </c>
      <c r="C13" s="29">
        <v>1162</v>
      </c>
      <c r="D13" s="19">
        <v>39.200000000000003</v>
      </c>
      <c r="E13" s="20">
        <v>119</v>
      </c>
      <c r="F13" s="21">
        <v>113</v>
      </c>
      <c r="G13" s="22">
        <v>108</v>
      </c>
      <c r="H13" s="23">
        <v>104</v>
      </c>
      <c r="I13" s="23">
        <v>117</v>
      </c>
      <c r="J13" s="23">
        <v>113</v>
      </c>
      <c r="K13" s="23">
        <v>90</v>
      </c>
      <c r="L13" s="23">
        <v>81</v>
      </c>
      <c r="M13" s="23">
        <v>90</v>
      </c>
      <c r="N13" s="23">
        <v>82</v>
      </c>
      <c r="O13" s="24">
        <v>82</v>
      </c>
      <c r="P13" s="25">
        <v>63</v>
      </c>
      <c r="Q13" s="26">
        <v>113</v>
      </c>
      <c r="R13" s="15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</row>
    <row r="14" spans="1:31" ht="57" thickBot="1">
      <c r="A14" s="3" t="s">
        <v>16</v>
      </c>
      <c r="B14" s="42" t="s">
        <v>30</v>
      </c>
      <c r="C14" s="43">
        <v>690</v>
      </c>
      <c r="D14" s="44">
        <v>23.3</v>
      </c>
      <c r="E14" s="45">
        <v>57</v>
      </c>
      <c r="F14" s="46">
        <v>72</v>
      </c>
      <c r="G14" s="47">
        <v>74</v>
      </c>
      <c r="H14" s="48">
        <v>61</v>
      </c>
      <c r="I14" s="48">
        <v>62</v>
      </c>
      <c r="J14" s="48">
        <v>57</v>
      </c>
      <c r="K14" s="48">
        <v>50</v>
      </c>
      <c r="L14" s="48">
        <v>64</v>
      </c>
      <c r="M14" s="48">
        <v>57</v>
      </c>
      <c r="N14" s="48">
        <v>51</v>
      </c>
      <c r="O14" s="49">
        <v>42</v>
      </c>
      <c r="P14" s="50">
        <v>43</v>
      </c>
      <c r="Q14" s="51">
        <v>48</v>
      </c>
      <c r="R14" s="15"/>
      <c r="S14" s="16"/>
      <c r="T14" s="219">
        <f>SUM(C2:C14)</f>
        <v>24765</v>
      </c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</row>
    <row r="15" spans="1:31" ht="43" thickBot="1">
      <c r="A15" s="3" t="s">
        <v>31</v>
      </c>
      <c r="B15" s="52" t="s">
        <v>32</v>
      </c>
      <c r="C15" s="53">
        <v>96</v>
      </c>
      <c r="D15" s="54">
        <v>3.2</v>
      </c>
      <c r="E15" s="55">
        <v>12</v>
      </c>
      <c r="F15" s="56">
        <v>13</v>
      </c>
      <c r="G15" s="57">
        <v>8</v>
      </c>
      <c r="H15" s="58">
        <v>6</v>
      </c>
      <c r="I15" s="58">
        <v>8</v>
      </c>
      <c r="J15" s="58">
        <v>12</v>
      </c>
      <c r="K15" s="58">
        <v>6</v>
      </c>
      <c r="L15" s="58">
        <v>4</v>
      </c>
      <c r="M15" s="58">
        <v>7</v>
      </c>
      <c r="N15" s="58">
        <v>4</v>
      </c>
      <c r="O15" s="59">
        <v>8</v>
      </c>
      <c r="P15" s="60">
        <v>8</v>
      </c>
      <c r="Q15" s="61">
        <v>12</v>
      </c>
      <c r="R15" s="15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</row>
    <row r="16" spans="1:31" ht="43" thickBot="1">
      <c r="A16" s="3" t="s">
        <v>31</v>
      </c>
      <c r="B16" s="30" t="s">
        <v>33</v>
      </c>
      <c r="C16" s="62">
        <v>0</v>
      </c>
      <c r="D16" s="63">
        <v>0</v>
      </c>
      <c r="E16" s="64">
        <v>0</v>
      </c>
      <c r="F16" s="21">
        <v>0</v>
      </c>
      <c r="G16" s="22">
        <v>0</v>
      </c>
      <c r="H16" s="23">
        <v>0</v>
      </c>
      <c r="I16" s="23">
        <v>0</v>
      </c>
      <c r="J16" s="23">
        <v>0</v>
      </c>
      <c r="K16" s="23">
        <v>0</v>
      </c>
      <c r="L16" s="23">
        <v>0</v>
      </c>
      <c r="M16" s="23">
        <v>0</v>
      </c>
      <c r="N16" s="23">
        <v>0</v>
      </c>
      <c r="O16" s="24">
        <v>0</v>
      </c>
      <c r="P16" s="25">
        <v>0</v>
      </c>
      <c r="Q16" s="26">
        <v>0</v>
      </c>
      <c r="R16" s="15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</row>
    <row r="17" spans="1:31" ht="43" thickBot="1">
      <c r="A17" s="3" t="s">
        <v>31</v>
      </c>
      <c r="B17" s="66" t="s">
        <v>34</v>
      </c>
      <c r="C17" s="62">
        <v>507</v>
      </c>
      <c r="D17" s="67">
        <v>17.100000000000001</v>
      </c>
      <c r="E17" s="64">
        <v>32</v>
      </c>
      <c r="F17" s="21">
        <v>30</v>
      </c>
      <c r="G17" s="22">
        <v>27</v>
      </c>
      <c r="H17" s="23">
        <v>20</v>
      </c>
      <c r="I17" s="23">
        <v>48</v>
      </c>
      <c r="J17" s="23">
        <v>36</v>
      </c>
      <c r="K17" s="23">
        <v>59</v>
      </c>
      <c r="L17" s="23">
        <v>68</v>
      </c>
      <c r="M17" s="23">
        <v>57</v>
      </c>
      <c r="N17" s="23">
        <v>57</v>
      </c>
      <c r="O17" s="24">
        <v>41</v>
      </c>
      <c r="P17" s="25">
        <v>32</v>
      </c>
      <c r="Q17" s="26">
        <v>25</v>
      </c>
      <c r="R17" s="15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</row>
    <row r="18" spans="1:31" ht="43" thickBot="1">
      <c r="A18" s="3" t="s">
        <v>31</v>
      </c>
      <c r="B18" s="30" t="s">
        <v>35</v>
      </c>
      <c r="C18" s="62">
        <v>0</v>
      </c>
      <c r="D18" s="67">
        <v>0</v>
      </c>
      <c r="E18" s="64">
        <v>0</v>
      </c>
      <c r="F18" s="21">
        <v>0</v>
      </c>
      <c r="G18" s="22">
        <v>0</v>
      </c>
      <c r="H18" s="23">
        <v>0</v>
      </c>
      <c r="I18" s="23">
        <v>0</v>
      </c>
      <c r="J18" s="23">
        <v>0</v>
      </c>
      <c r="K18" s="23">
        <v>0</v>
      </c>
      <c r="L18" s="23">
        <v>0</v>
      </c>
      <c r="M18" s="23">
        <v>0</v>
      </c>
      <c r="N18" s="23">
        <v>0</v>
      </c>
      <c r="O18" s="24">
        <v>0</v>
      </c>
      <c r="P18" s="25">
        <v>0</v>
      </c>
      <c r="Q18" s="26">
        <v>0</v>
      </c>
      <c r="R18" s="15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</row>
    <row r="19" spans="1:31" ht="43" thickBot="1">
      <c r="A19" s="3" t="s">
        <v>31</v>
      </c>
      <c r="B19" s="30" t="s">
        <v>36</v>
      </c>
      <c r="C19" s="62">
        <v>170</v>
      </c>
      <c r="D19" s="67">
        <v>5.7</v>
      </c>
      <c r="E19" s="64">
        <v>11</v>
      </c>
      <c r="F19" s="21">
        <v>17</v>
      </c>
      <c r="G19" s="22">
        <v>7</v>
      </c>
      <c r="H19" s="23">
        <v>10</v>
      </c>
      <c r="I19" s="23">
        <v>9</v>
      </c>
      <c r="J19" s="23">
        <v>17</v>
      </c>
      <c r="K19" s="23">
        <v>35</v>
      </c>
      <c r="L19" s="23">
        <v>25</v>
      </c>
      <c r="M19" s="23">
        <v>19</v>
      </c>
      <c r="N19" s="23">
        <v>8</v>
      </c>
      <c r="O19" s="24">
        <v>7</v>
      </c>
      <c r="P19" s="25">
        <v>5</v>
      </c>
      <c r="Q19" s="26">
        <v>7</v>
      </c>
      <c r="R19" s="15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</row>
    <row r="20" spans="1:31" ht="43" thickBot="1">
      <c r="A20" s="3" t="s">
        <v>31</v>
      </c>
      <c r="B20" s="30" t="s">
        <v>37</v>
      </c>
      <c r="C20" s="62">
        <v>117</v>
      </c>
      <c r="D20" s="67">
        <v>3.9</v>
      </c>
      <c r="E20" s="64">
        <v>1</v>
      </c>
      <c r="F20" s="21">
        <v>0</v>
      </c>
      <c r="G20" s="22">
        <v>2</v>
      </c>
      <c r="H20" s="23">
        <v>1</v>
      </c>
      <c r="I20" s="23">
        <v>8</v>
      </c>
      <c r="J20" s="23">
        <v>21</v>
      </c>
      <c r="K20" s="23">
        <v>60</v>
      </c>
      <c r="L20" s="23">
        <v>19</v>
      </c>
      <c r="M20" s="23">
        <v>3</v>
      </c>
      <c r="N20" s="23">
        <v>0</v>
      </c>
      <c r="O20" s="24">
        <v>1</v>
      </c>
      <c r="P20" s="25">
        <v>1</v>
      </c>
      <c r="Q20" s="26">
        <v>3</v>
      </c>
      <c r="R20" s="15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</row>
    <row r="21" spans="1:31" ht="43" thickBot="1">
      <c r="A21" s="3" t="s">
        <v>31</v>
      </c>
      <c r="B21" s="30" t="s">
        <v>38</v>
      </c>
      <c r="C21" s="62">
        <v>24</v>
      </c>
      <c r="D21" s="67">
        <v>0.8</v>
      </c>
      <c r="E21" s="64">
        <v>1</v>
      </c>
      <c r="F21" s="21">
        <v>0</v>
      </c>
      <c r="G21" s="22">
        <v>0</v>
      </c>
      <c r="H21" s="23">
        <v>13</v>
      </c>
      <c r="I21" s="23">
        <v>7</v>
      </c>
      <c r="J21" s="23">
        <v>0</v>
      </c>
      <c r="K21" s="23">
        <v>0</v>
      </c>
      <c r="L21" s="23">
        <v>0</v>
      </c>
      <c r="M21" s="23">
        <v>0</v>
      </c>
      <c r="N21" s="23">
        <v>0</v>
      </c>
      <c r="O21" s="24">
        <v>1</v>
      </c>
      <c r="P21" s="25">
        <v>2</v>
      </c>
      <c r="Q21" s="26">
        <v>0</v>
      </c>
      <c r="R21" s="15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</row>
    <row r="22" spans="1:31" ht="43" thickBot="1">
      <c r="A22" s="3" t="s">
        <v>31</v>
      </c>
      <c r="B22" s="30" t="s">
        <v>39</v>
      </c>
      <c r="C22" s="62">
        <v>331</v>
      </c>
      <c r="D22" s="67">
        <v>11.2</v>
      </c>
      <c r="E22" s="64">
        <v>30</v>
      </c>
      <c r="F22" s="21">
        <v>28</v>
      </c>
      <c r="G22" s="22">
        <v>15</v>
      </c>
      <c r="H22" s="23">
        <v>25</v>
      </c>
      <c r="I22" s="23">
        <v>24</v>
      </c>
      <c r="J22" s="23">
        <v>27</v>
      </c>
      <c r="K22" s="23">
        <v>30</v>
      </c>
      <c r="L22" s="23">
        <v>32</v>
      </c>
      <c r="M22" s="23">
        <v>36</v>
      </c>
      <c r="N22" s="23">
        <v>34</v>
      </c>
      <c r="O22" s="24">
        <v>25</v>
      </c>
      <c r="P22" s="25">
        <v>25</v>
      </c>
      <c r="Q22" s="26">
        <v>17</v>
      </c>
      <c r="R22" s="15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</row>
    <row r="23" spans="1:31" ht="43" thickBot="1">
      <c r="A23" s="3" t="s">
        <v>31</v>
      </c>
      <c r="B23" s="30" t="s">
        <v>40</v>
      </c>
      <c r="C23" s="62">
        <v>30</v>
      </c>
      <c r="D23" s="67">
        <v>1</v>
      </c>
      <c r="E23" s="64">
        <v>4</v>
      </c>
      <c r="F23" s="21">
        <v>4</v>
      </c>
      <c r="G23" s="22">
        <v>4</v>
      </c>
      <c r="H23" s="23">
        <v>3</v>
      </c>
      <c r="I23" s="23">
        <v>1</v>
      </c>
      <c r="J23" s="23">
        <v>1</v>
      </c>
      <c r="K23" s="23">
        <v>2</v>
      </c>
      <c r="L23" s="23">
        <v>1</v>
      </c>
      <c r="M23" s="23">
        <v>2</v>
      </c>
      <c r="N23" s="23">
        <v>4</v>
      </c>
      <c r="O23" s="24">
        <v>3</v>
      </c>
      <c r="P23" s="25">
        <v>1</v>
      </c>
      <c r="Q23" s="26">
        <v>2</v>
      </c>
      <c r="R23" s="15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</row>
    <row r="24" spans="1:31" ht="43" thickBot="1">
      <c r="A24" s="3" t="s">
        <v>31</v>
      </c>
      <c r="B24" s="30" t="s">
        <v>41</v>
      </c>
      <c r="C24" s="62">
        <v>34</v>
      </c>
      <c r="D24" s="67">
        <v>1.1000000000000001</v>
      </c>
      <c r="E24" s="64">
        <v>2</v>
      </c>
      <c r="F24" s="21">
        <v>1</v>
      </c>
      <c r="G24" s="22">
        <v>1</v>
      </c>
      <c r="H24" s="23">
        <v>4</v>
      </c>
      <c r="I24" s="23">
        <v>1</v>
      </c>
      <c r="J24" s="23">
        <v>8</v>
      </c>
      <c r="K24" s="23">
        <v>9</v>
      </c>
      <c r="L24" s="23">
        <v>1</v>
      </c>
      <c r="M24" s="23">
        <v>2</v>
      </c>
      <c r="N24" s="23">
        <v>2</v>
      </c>
      <c r="O24" s="24">
        <v>2</v>
      </c>
      <c r="P24" s="25">
        <v>1</v>
      </c>
      <c r="Q24" s="26">
        <v>2</v>
      </c>
      <c r="R24" s="15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</row>
    <row r="25" spans="1:31" ht="43" thickBot="1">
      <c r="A25" s="3" t="s">
        <v>31</v>
      </c>
      <c r="B25" s="30" t="s">
        <v>42</v>
      </c>
      <c r="C25" s="62">
        <v>0</v>
      </c>
      <c r="D25" s="67">
        <v>0</v>
      </c>
      <c r="E25" s="64">
        <v>0</v>
      </c>
      <c r="F25" s="21">
        <v>0</v>
      </c>
      <c r="G25" s="22">
        <v>0</v>
      </c>
      <c r="H25" s="23">
        <v>0</v>
      </c>
      <c r="I25" s="23">
        <v>0</v>
      </c>
      <c r="J25" s="23">
        <v>0</v>
      </c>
      <c r="K25" s="23">
        <v>0</v>
      </c>
      <c r="L25" s="23">
        <v>0</v>
      </c>
      <c r="M25" s="23">
        <v>0</v>
      </c>
      <c r="N25" s="23">
        <v>0</v>
      </c>
      <c r="O25" s="24">
        <v>0</v>
      </c>
      <c r="P25" s="25">
        <v>0</v>
      </c>
      <c r="Q25" s="26">
        <v>0</v>
      </c>
      <c r="R25" s="15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</row>
    <row r="26" spans="1:31" ht="43" thickBot="1">
      <c r="A26" s="3" t="s">
        <v>31</v>
      </c>
      <c r="B26" s="30" t="s">
        <v>43</v>
      </c>
      <c r="C26" s="62">
        <v>14</v>
      </c>
      <c r="D26" s="67">
        <v>0.5</v>
      </c>
      <c r="E26" s="64">
        <v>0</v>
      </c>
      <c r="F26" s="21">
        <v>4</v>
      </c>
      <c r="G26" s="22">
        <v>2</v>
      </c>
      <c r="H26" s="23">
        <v>2</v>
      </c>
      <c r="I26" s="23">
        <v>1</v>
      </c>
      <c r="J26" s="23">
        <v>2</v>
      </c>
      <c r="K26" s="23">
        <v>1</v>
      </c>
      <c r="L26" s="23">
        <v>2</v>
      </c>
      <c r="M26" s="23">
        <v>0</v>
      </c>
      <c r="N26" s="23">
        <v>0</v>
      </c>
      <c r="O26" s="24">
        <v>0</v>
      </c>
      <c r="P26" s="25">
        <v>0</v>
      </c>
      <c r="Q26" s="26">
        <v>0</v>
      </c>
      <c r="R26" s="15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</row>
    <row r="27" spans="1:31" ht="43" thickBot="1">
      <c r="A27" s="3" t="s">
        <v>31</v>
      </c>
      <c r="B27" s="30" t="s">
        <v>44</v>
      </c>
      <c r="C27" s="62">
        <v>553</v>
      </c>
      <c r="D27" s="67">
        <v>18.600000000000001</v>
      </c>
      <c r="E27" s="64">
        <v>43</v>
      </c>
      <c r="F27" s="21">
        <v>45</v>
      </c>
      <c r="G27" s="22">
        <v>30</v>
      </c>
      <c r="H27" s="23">
        <v>47</v>
      </c>
      <c r="I27" s="23">
        <v>44</v>
      </c>
      <c r="J27" s="23">
        <v>29</v>
      </c>
      <c r="K27" s="23">
        <v>44</v>
      </c>
      <c r="L27" s="23">
        <v>94</v>
      </c>
      <c r="M27" s="23">
        <v>44</v>
      </c>
      <c r="N27" s="23">
        <v>48</v>
      </c>
      <c r="O27" s="24">
        <v>40</v>
      </c>
      <c r="P27" s="25">
        <v>45</v>
      </c>
      <c r="Q27" s="26">
        <v>25</v>
      </c>
      <c r="R27" s="15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</row>
    <row r="28" spans="1:31" ht="43" thickBot="1">
      <c r="A28" s="3" t="s">
        <v>31</v>
      </c>
      <c r="B28" s="30" t="s">
        <v>45</v>
      </c>
      <c r="C28" s="62">
        <v>113</v>
      </c>
      <c r="D28" s="67">
        <v>3.8</v>
      </c>
      <c r="E28" s="64">
        <v>9</v>
      </c>
      <c r="F28" s="21">
        <v>10</v>
      </c>
      <c r="G28" s="22">
        <v>9</v>
      </c>
      <c r="H28" s="23">
        <v>6</v>
      </c>
      <c r="I28" s="23">
        <v>3</v>
      </c>
      <c r="J28" s="23">
        <v>8</v>
      </c>
      <c r="K28" s="23">
        <v>10</v>
      </c>
      <c r="L28" s="23">
        <v>11</v>
      </c>
      <c r="M28" s="23">
        <v>17</v>
      </c>
      <c r="N28" s="23">
        <v>14</v>
      </c>
      <c r="O28" s="24">
        <v>9</v>
      </c>
      <c r="P28" s="25">
        <v>7</v>
      </c>
      <c r="Q28" s="26">
        <v>9</v>
      </c>
      <c r="R28" s="15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6"/>
      <c r="AE28" s="16"/>
    </row>
    <row r="29" spans="1:31" ht="43" thickBot="1">
      <c r="A29" s="3" t="s">
        <v>31</v>
      </c>
      <c r="B29" s="30" t="s">
        <v>46</v>
      </c>
      <c r="C29" s="62">
        <v>1</v>
      </c>
      <c r="D29" s="67" t="s">
        <v>27</v>
      </c>
      <c r="E29" s="64">
        <v>0</v>
      </c>
      <c r="F29" s="21">
        <v>0</v>
      </c>
      <c r="G29" s="22">
        <v>0</v>
      </c>
      <c r="H29" s="23">
        <v>1</v>
      </c>
      <c r="I29" s="23">
        <v>0</v>
      </c>
      <c r="J29" s="23">
        <v>0</v>
      </c>
      <c r="K29" s="23">
        <v>0</v>
      </c>
      <c r="L29" s="23">
        <v>0</v>
      </c>
      <c r="M29" s="23">
        <v>0</v>
      </c>
      <c r="N29" s="23">
        <v>0</v>
      </c>
      <c r="O29" s="24">
        <v>0</v>
      </c>
      <c r="P29" s="25">
        <v>0</v>
      </c>
      <c r="Q29" s="26">
        <v>0</v>
      </c>
      <c r="R29" s="15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</row>
    <row r="30" spans="1:31" ht="43" thickBot="1">
      <c r="A30" s="3" t="s">
        <v>31</v>
      </c>
      <c r="B30" s="30" t="s">
        <v>47</v>
      </c>
      <c r="C30" s="62">
        <v>22</v>
      </c>
      <c r="D30" s="67">
        <v>0.7</v>
      </c>
      <c r="E30" s="64">
        <v>1</v>
      </c>
      <c r="F30" s="21">
        <v>4</v>
      </c>
      <c r="G30" s="22">
        <v>1</v>
      </c>
      <c r="H30" s="23">
        <v>3</v>
      </c>
      <c r="I30" s="23">
        <v>4</v>
      </c>
      <c r="J30" s="23">
        <v>1</v>
      </c>
      <c r="K30" s="23">
        <v>2</v>
      </c>
      <c r="L30" s="23">
        <v>1</v>
      </c>
      <c r="M30" s="23">
        <v>1</v>
      </c>
      <c r="N30" s="23">
        <v>1</v>
      </c>
      <c r="O30" s="24">
        <v>1</v>
      </c>
      <c r="P30" s="25">
        <v>2</v>
      </c>
      <c r="Q30" s="26">
        <v>3</v>
      </c>
      <c r="R30" s="15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16"/>
      <c r="AE30" s="16"/>
    </row>
    <row r="31" spans="1:31" ht="57" thickBot="1">
      <c r="A31" s="3" t="s">
        <v>31</v>
      </c>
      <c r="B31" s="30" t="s">
        <v>48</v>
      </c>
      <c r="C31" s="62">
        <v>41</v>
      </c>
      <c r="D31" s="67">
        <v>1.4</v>
      </c>
      <c r="E31" s="64">
        <v>2</v>
      </c>
      <c r="F31" s="21">
        <v>2</v>
      </c>
      <c r="G31" s="22">
        <v>2</v>
      </c>
      <c r="H31" s="23">
        <v>2</v>
      </c>
      <c r="I31" s="23">
        <v>1</v>
      </c>
      <c r="J31" s="23">
        <v>7</v>
      </c>
      <c r="K31" s="23">
        <v>5</v>
      </c>
      <c r="L31" s="23">
        <v>6</v>
      </c>
      <c r="M31" s="23">
        <v>2</v>
      </c>
      <c r="N31" s="23">
        <v>3</v>
      </c>
      <c r="O31" s="24">
        <v>4</v>
      </c>
      <c r="P31" s="25">
        <v>5</v>
      </c>
      <c r="Q31" s="26">
        <v>2</v>
      </c>
      <c r="R31" s="15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</row>
    <row r="32" spans="1:31" ht="43" thickBot="1">
      <c r="A32" s="3" t="s">
        <v>31</v>
      </c>
      <c r="B32" s="68" t="s">
        <v>49</v>
      </c>
      <c r="C32" s="69">
        <v>78</v>
      </c>
      <c r="D32" s="70">
        <v>2.6</v>
      </c>
      <c r="E32" s="71">
        <v>6</v>
      </c>
      <c r="F32" s="46">
        <v>12</v>
      </c>
      <c r="G32" s="47">
        <v>5</v>
      </c>
      <c r="H32" s="48">
        <v>8</v>
      </c>
      <c r="I32" s="48">
        <v>9</v>
      </c>
      <c r="J32" s="48">
        <v>3</v>
      </c>
      <c r="K32" s="48">
        <v>6</v>
      </c>
      <c r="L32" s="48">
        <v>9</v>
      </c>
      <c r="M32" s="48">
        <v>7</v>
      </c>
      <c r="N32" s="48">
        <v>8</v>
      </c>
      <c r="O32" s="49">
        <v>2</v>
      </c>
      <c r="P32" s="50">
        <v>3</v>
      </c>
      <c r="Q32" s="51">
        <v>4</v>
      </c>
      <c r="R32" s="15"/>
      <c r="S32" s="16"/>
      <c r="T32" s="14">
        <f>SUM(D15:D32)</f>
        <v>71.600000000000009</v>
      </c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</row>
    <row r="33" spans="1:31" ht="43" thickBot="1">
      <c r="A33" s="3" t="s">
        <v>50</v>
      </c>
      <c r="B33" s="4" t="s">
        <v>51</v>
      </c>
      <c r="C33" s="53">
        <v>1</v>
      </c>
      <c r="D33" s="54" t="s">
        <v>27</v>
      </c>
      <c r="E33" s="55">
        <v>0</v>
      </c>
      <c r="F33" s="56">
        <v>0</v>
      </c>
      <c r="G33" s="57">
        <v>0</v>
      </c>
      <c r="H33" s="58">
        <v>0</v>
      </c>
      <c r="I33" s="58">
        <v>0</v>
      </c>
      <c r="J33" s="58">
        <v>0</v>
      </c>
      <c r="K33" s="58">
        <v>0</v>
      </c>
      <c r="L33" s="58">
        <v>1</v>
      </c>
      <c r="M33" s="58">
        <v>0</v>
      </c>
      <c r="N33" s="58">
        <v>0</v>
      </c>
      <c r="O33" s="59">
        <v>0</v>
      </c>
      <c r="P33" s="60">
        <v>0</v>
      </c>
      <c r="Q33" s="61">
        <v>0</v>
      </c>
      <c r="R33" s="15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</row>
    <row r="34" spans="1:31" ht="43" thickBot="1">
      <c r="A34" s="3" t="s">
        <v>50</v>
      </c>
      <c r="B34" s="52" t="s">
        <v>52</v>
      </c>
      <c r="C34" s="62">
        <v>46</v>
      </c>
      <c r="D34" s="67">
        <v>1.6</v>
      </c>
      <c r="E34" s="64">
        <v>0</v>
      </c>
      <c r="F34" s="21">
        <v>0</v>
      </c>
      <c r="G34" s="22">
        <v>0</v>
      </c>
      <c r="H34" s="23">
        <v>1</v>
      </c>
      <c r="I34" s="23">
        <v>2</v>
      </c>
      <c r="J34" s="23">
        <v>9</v>
      </c>
      <c r="K34" s="23">
        <v>6</v>
      </c>
      <c r="L34" s="23">
        <v>1</v>
      </c>
      <c r="M34" s="23">
        <v>7</v>
      </c>
      <c r="N34" s="23">
        <v>10</v>
      </c>
      <c r="O34" s="24">
        <v>6</v>
      </c>
      <c r="P34" s="25">
        <v>4</v>
      </c>
      <c r="Q34" s="26">
        <v>3</v>
      </c>
      <c r="R34" s="15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</row>
    <row r="35" spans="1:31" ht="43" thickBot="1">
      <c r="A35" s="3" t="s">
        <v>50</v>
      </c>
      <c r="B35" s="52" t="s">
        <v>53</v>
      </c>
      <c r="C35" s="72">
        <v>367</v>
      </c>
      <c r="D35" s="19">
        <v>12.4</v>
      </c>
      <c r="E35" s="73">
        <v>39</v>
      </c>
      <c r="F35" s="74">
        <v>18</v>
      </c>
      <c r="G35" s="75">
        <v>15</v>
      </c>
      <c r="H35" s="76">
        <v>47</v>
      </c>
      <c r="I35" s="76">
        <v>54</v>
      </c>
      <c r="J35" s="76">
        <v>33</v>
      </c>
      <c r="K35" s="76">
        <v>9</v>
      </c>
      <c r="L35" s="76">
        <v>18</v>
      </c>
      <c r="M35" s="76">
        <v>30</v>
      </c>
      <c r="N35" s="76">
        <v>39</v>
      </c>
      <c r="O35" s="77">
        <v>36</v>
      </c>
      <c r="P35" s="78">
        <v>29</v>
      </c>
      <c r="Q35" s="79">
        <v>18</v>
      </c>
      <c r="R35" s="15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</row>
    <row r="36" spans="1:31" ht="43" thickBot="1">
      <c r="A36" s="3" t="s">
        <v>50</v>
      </c>
      <c r="B36" s="52" t="s">
        <v>54</v>
      </c>
      <c r="C36" s="72">
        <v>4870</v>
      </c>
      <c r="D36" s="65">
        <v>164.2</v>
      </c>
      <c r="E36" s="73">
        <v>2334</v>
      </c>
      <c r="F36" s="74">
        <v>672</v>
      </c>
      <c r="G36" s="75">
        <v>372</v>
      </c>
      <c r="H36" s="76">
        <v>452</v>
      </c>
      <c r="I36" s="76">
        <v>1032</v>
      </c>
      <c r="J36" s="76">
        <v>8</v>
      </c>
      <c r="K36" s="76">
        <v>0</v>
      </c>
      <c r="L36" s="76">
        <v>0</v>
      </c>
      <c r="M36" s="76">
        <v>0</v>
      </c>
      <c r="N36" s="76">
        <v>0</v>
      </c>
      <c r="O36" s="77">
        <v>0</v>
      </c>
      <c r="P36" s="78">
        <v>0</v>
      </c>
      <c r="Q36" s="80">
        <v>23790</v>
      </c>
      <c r="R36" s="15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</row>
    <row r="37" spans="1:31" ht="43" thickBot="1">
      <c r="A37" s="3" t="s">
        <v>50</v>
      </c>
      <c r="B37" s="52" t="s">
        <v>55</v>
      </c>
      <c r="C37" s="62">
        <v>1</v>
      </c>
      <c r="D37" s="67" t="s">
        <v>27</v>
      </c>
      <c r="E37" s="64">
        <v>0</v>
      </c>
      <c r="F37" s="21">
        <v>0</v>
      </c>
      <c r="G37" s="22">
        <v>0</v>
      </c>
      <c r="H37" s="23">
        <v>0</v>
      </c>
      <c r="I37" s="23">
        <v>0</v>
      </c>
      <c r="J37" s="23">
        <v>0</v>
      </c>
      <c r="K37" s="23">
        <v>0</v>
      </c>
      <c r="L37" s="23">
        <v>1</v>
      </c>
      <c r="M37" s="23">
        <v>0</v>
      </c>
      <c r="N37" s="23">
        <v>0</v>
      </c>
      <c r="O37" s="24">
        <v>0</v>
      </c>
      <c r="P37" s="25">
        <v>0</v>
      </c>
      <c r="Q37" s="26">
        <v>0</v>
      </c>
      <c r="R37" s="15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</row>
    <row r="38" spans="1:31" ht="57" thickBot="1">
      <c r="A38" s="3" t="s">
        <v>50</v>
      </c>
      <c r="B38" s="66" t="s">
        <v>56</v>
      </c>
      <c r="C38" s="81">
        <v>46</v>
      </c>
      <c r="D38" s="63">
        <v>1.6</v>
      </c>
      <c r="E38" s="82">
        <v>8</v>
      </c>
      <c r="F38" s="83">
        <v>3</v>
      </c>
      <c r="G38" s="84">
        <v>5</v>
      </c>
      <c r="H38" s="85">
        <v>3</v>
      </c>
      <c r="I38" s="85">
        <v>5</v>
      </c>
      <c r="J38" s="85">
        <v>3</v>
      </c>
      <c r="K38" s="85">
        <v>2</v>
      </c>
      <c r="L38" s="85">
        <v>2</v>
      </c>
      <c r="M38" s="85">
        <v>4</v>
      </c>
      <c r="N38" s="85">
        <v>2</v>
      </c>
      <c r="O38" s="86">
        <v>5</v>
      </c>
      <c r="P38" s="87">
        <v>4</v>
      </c>
      <c r="Q38" s="80">
        <v>7</v>
      </c>
      <c r="R38" s="15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  <c r="AE38" s="16"/>
    </row>
    <row r="39" spans="1:31" ht="43" thickBot="1">
      <c r="A39" s="3" t="s">
        <v>50</v>
      </c>
      <c r="B39" s="17" t="s">
        <v>57</v>
      </c>
      <c r="C39" s="88">
        <v>4399</v>
      </c>
      <c r="D39" s="89">
        <v>148.30000000000001</v>
      </c>
      <c r="E39" s="64">
        <v>1575</v>
      </c>
      <c r="F39" s="21">
        <v>747</v>
      </c>
      <c r="G39" s="22">
        <v>579</v>
      </c>
      <c r="H39" s="23">
        <v>351</v>
      </c>
      <c r="I39" s="23">
        <v>130</v>
      </c>
      <c r="J39" s="23">
        <v>37</v>
      </c>
      <c r="K39" s="23">
        <v>42</v>
      </c>
      <c r="L39" s="23">
        <v>7</v>
      </c>
      <c r="M39" s="23">
        <v>36</v>
      </c>
      <c r="N39" s="23">
        <v>40</v>
      </c>
      <c r="O39" s="24">
        <v>75</v>
      </c>
      <c r="P39" s="25">
        <v>780</v>
      </c>
      <c r="Q39" s="26">
        <v>894</v>
      </c>
      <c r="R39" s="90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 s="16"/>
      <c r="AE39" s="16"/>
    </row>
    <row r="40" spans="1:31" ht="43" thickBot="1">
      <c r="A40" s="3" t="s">
        <v>50</v>
      </c>
      <c r="B40" s="17" t="s">
        <v>58</v>
      </c>
      <c r="C40" s="81">
        <v>10</v>
      </c>
      <c r="D40" s="63">
        <v>0.3</v>
      </c>
      <c r="E40" s="82">
        <v>0</v>
      </c>
      <c r="F40" s="83">
        <v>1</v>
      </c>
      <c r="G40" s="84">
        <v>2</v>
      </c>
      <c r="H40" s="85">
        <v>3</v>
      </c>
      <c r="I40" s="85">
        <v>1</v>
      </c>
      <c r="J40" s="85">
        <v>1</v>
      </c>
      <c r="K40" s="85">
        <v>0</v>
      </c>
      <c r="L40" s="85">
        <v>1</v>
      </c>
      <c r="M40" s="85">
        <v>0</v>
      </c>
      <c r="N40" s="85">
        <v>0</v>
      </c>
      <c r="O40" s="86">
        <v>0</v>
      </c>
      <c r="P40" s="87">
        <v>1</v>
      </c>
      <c r="Q40" s="80">
        <v>0</v>
      </c>
      <c r="R40" s="15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/>
      <c r="AD40" s="16"/>
      <c r="AE40" s="16"/>
    </row>
    <row r="41" spans="1:31" ht="43" thickBot="1">
      <c r="A41" s="3" t="s">
        <v>50</v>
      </c>
      <c r="B41" s="17" t="s">
        <v>59</v>
      </c>
      <c r="C41" s="81">
        <v>237</v>
      </c>
      <c r="D41" s="63">
        <v>8</v>
      </c>
      <c r="E41" s="82">
        <v>5</v>
      </c>
      <c r="F41" s="83">
        <v>15</v>
      </c>
      <c r="G41" s="84">
        <v>5</v>
      </c>
      <c r="H41" s="85">
        <v>7</v>
      </c>
      <c r="I41" s="85">
        <v>11</v>
      </c>
      <c r="J41" s="85">
        <v>22</v>
      </c>
      <c r="K41" s="85">
        <v>50</v>
      </c>
      <c r="L41" s="85">
        <v>44</v>
      </c>
      <c r="M41" s="85">
        <v>33</v>
      </c>
      <c r="N41" s="85">
        <v>23</v>
      </c>
      <c r="O41" s="86">
        <v>15</v>
      </c>
      <c r="P41" s="87">
        <v>7</v>
      </c>
      <c r="Q41" s="80" t="s">
        <v>60</v>
      </c>
      <c r="R41" s="15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6"/>
    </row>
    <row r="42" spans="1:31" ht="43" thickBot="1">
      <c r="A42" s="3" t="s">
        <v>50</v>
      </c>
      <c r="B42" s="17" t="s">
        <v>61</v>
      </c>
      <c r="C42" s="62">
        <v>11</v>
      </c>
      <c r="D42" s="63">
        <v>0.4</v>
      </c>
      <c r="E42" s="64">
        <v>2</v>
      </c>
      <c r="F42" s="21">
        <v>2</v>
      </c>
      <c r="G42" s="22">
        <v>3</v>
      </c>
      <c r="H42" s="23">
        <v>2</v>
      </c>
      <c r="I42" s="23">
        <v>0</v>
      </c>
      <c r="J42" s="23">
        <v>0</v>
      </c>
      <c r="K42" s="23">
        <v>0</v>
      </c>
      <c r="L42" s="23">
        <v>0</v>
      </c>
      <c r="M42" s="23">
        <v>0</v>
      </c>
      <c r="N42" s="23">
        <v>0</v>
      </c>
      <c r="O42" s="24">
        <v>2</v>
      </c>
      <c r="P42" s="25">
        <v>0</v>
      </c>
      <c r="Q42" s="26">
        <v>1</v>
      </c>
      <c r="R42" s="15"/>
      <c r="S42" s="16"/>
      <c r="T42" s="16"/>
      <c r="U42" s="16"/>
      <c r="V42" s="16"/>
      <c r="W42" s="16"/>
      <c r="X42" s="16"/>
      <c r="Y42" s="16"/>
      <c r="Z42" s="16"/>
      <c r="AA42" s="16"/>
      <c r="AB42" s="16"/>
      <c r="AC42" s="16"/>
      <c r="AD42" s="16"/>
      <c r="AE42" s="16"/>
    </row>
    <row r="43" spans="1:31" ht="43" thickBot="1">
      <c r="A43" s="3" t="s">
        <v>50</v>
      </c>
      <c r="B43" s="17" t="s">
        <v>62</v>
      </c>
      <c r="C43" s="62">
        <v>234</v>
      </c>
      <c r="D43" s="67">
        <v>7.9</v>
      </c>
      <c r="E43" s="64">
        <v>14</v>
      </c>
      <c r="F43" s="21">
        <v>0</v>
      </c>
      <c r="G43" s="22">
        <v>2</v>
      </c>
      <c r="H43" s="23">
        <v>9</v>
      </c>
      <c r="I43" s="23">
        <v>15</v>
      </c>
      <c r="J43" s="23">
        <v>24</v>
      </c>
      <c r="K43" s="23">
        <v>36</v>
      </c>
      <c r="L43" s="23">
        <v>48</v>
      </c>
      <c r="M43" s="23">
        <v>40</v>
      </c>
      <c r="N43" s="23">
        <v>22</v>
      </c>
      <c r="O43" s="24">
        <v>12</v>
      </c>
      <c r="P43" s="25">
        <v>12</v>
      </c>
      <c r="Q43" s="26" t="s">
        <v>63</v>
      </c>
      <c r="R43" s="15"/>
      <c r="S43" s="16"/>
      <c r="T43" s="16"/>
      <c r="U43" s="16"/>
      <c r="V43" s="16"/>
      <c r="W43" s="16"/>
      <c r="X43" s="16"/>
      <c r="Y43" s="16"/>
      <c r="Z43" s="16"/>
      <c r="AA43" s="16"/>
      <c r="AB43" s="16"/>
      <c r="AC43" s="16"/>
      <c r="AD43" s="16"/>
      <c r="AE43" s="16"/>
    </row>
    <row r="44" spans="1:31" ht="43" thickBot="1">
      <c r="A44" s="3" t="s">
        <v>50</v>
      </c>
      <c r="B44" s="91" t="s">
        <v>64</v>
      </c>
      <c r="C44" s="92">
        <v>0</v>
      </c>
      <c r="D44" s="93">
        <v>0</v>
      </c>
      <c r="E44" s="82">
        <v>0</v>
      </c>
      <c r="F44" s="83">
        <v>0</v>
      </c>
      <c r="G44" s="84">
        <v>0</v>
      </c>
      <c r="H44" s="85">
        <v>0</v>
      </c>
      <c r="I44" s="85">
        <v>0</v>
      </c>
      <c r="J44" s="85">
        <v>0</v>
      </c>
      <c r="K44" s="85">
        <v>0</v>
      </c>
      <c r="L44" s="85">
        <v>0</v>
      </c>
      <c r="M44" s="85">
        <v>0</v>
      </c>
      <c r="N44" s="85">
        <v>0</v>
      </c>
      <c r="O44" s="94">
        <v>0</v>
      </c>
      <c r="P44" s="87">
        <v>0</v>
      </c>
      <c r="Q44" s="80">
        <v>0</v>
      </c>
      <c r="R44" s="15"/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6"/>
      <c r="AD44" s="16"/>
      <c r="AE44" s="16"/>
    </row>
    <row r="45" spans="1:31" ht="43" thickBot="1">
      <c r="A45" s="3" t="s">
        <v>50</v>
      </c>
      <c r="B45" s="95" t="s">
        <v>65</v>
      </c>
      <c r="C45" s="92">
        <v>0</v>
      </c>
      <c r="D45" s="93">
        <v>0</v>
      </c>
      <c r="E45" s="82">
        <v>0</v>
      </c>
      <c r="F45" s="83">
        <v>0</v>
      </c>
      <c r="G45" s="84">
        <v>0</v>
      </c>
      <c r="H45" s="85">
        <v>0</v>
      </c>
      <c r="I45" s="85">
        <v>0</v>
      </c>
      <c r="J45" s="85">
        <v>0</v>
      </c>
      <c r="K45" s="85">
        <v>0</v>
      </c>
      <c r="L45" s="85">
        <v>0</v>
      </c>
      <c r="M45" s="85">
        <v>0</v>
      </c>
      <c r="N45" s="85">
        <v>0</v>
      </c>
      <c r="O45" s="86">
        <v>0</v>
      </c>
      <c r="P45" s="87">
        <v>0</v>
      </c>
      <c r="Q45" s="80">
        <v>0</v>
      </c>
      <c r="R45" s="15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</row>
    <row r="46" spans="1:31" ht="43" thickBot="1">
      <c r="A46" s="3" t="s">
        <v>50</v>
      </c>
      <c r="B46" s="96" t="s">
        <v>66</v>
      </c>
      <c r="C46" s="97">
        <v>0</v>
      </c>
      <c r="D46" s="98">
        <v>0</v>
      </c>
      <c r="E46" s="99">
        <v>0</v>
      </c>
      <c r="F46" s="100">
        <v>0</v>
      </c>
      <c r="G46" s="101">
        <v>0</v>
      </c>
      <c r="H46" s="102">
        <v>0</v>
      </c>
      <c r="I46" s="102">
        <v>0</v>
      </c>
      <c r="J46" s="102">
        <v>0</v>
      </c>
      <c r="K46" s="102">
        <v>0</v>
      </c>
      <c r="L46" s="102">
        <v>0</v>
      </c>
      <c r="M46" s="102">
        <v>0</v>
      </c>
      <c r="N46" s="102">
        <v>0</v>
      </c>
      <c r="O46" s="103">
        <v>0</v>
      </c>
      <c r="P46" s="104">
        <v>0</v>
      </c>
      <c r="Q46" s="105">
        <v>0</v>
      </c>
      <c r="R46" s="15"/>
      <c r="S46" s="16"/>
      <c r="T46" s="219">
        <f>SUM(C33:C46)</f>
        <v>10222</v>
      </c>
      <c r="U46" s="16"/>
      <c r="V46" s="16"/>
      <c r="W46" s="16"/>
      <c r="X46" s="16"/>
      <c r="Y46" s="16"/>
      <c r="Z46" s="16"/>
      <c r="AA46" s="16"/>
      <c r="AB46" s="16"/>
      <c r="AC46" s="16"/>
      <c r="AD46" s="16"/>
      <c r="AE46" s="16"/>
    </row>
    <row r="47" spans="1:31" ht="43" thickBot="1">
      <c r="A47" s="3" t="s">
        <v>67</v>
      </c>
      <c r="B47" s="106" t="s">
        <v>68</v>
      </c>
      <c r="C47" s="107">
        <v>64</v>
      </c>
      <c r="D47" s="108">
        <v>2.2000000000000002</v>
      </c>
      <c r="E47" s="109">
        <v>2</v>
      </c>
      <c r="F47" s="110">
        <v>2</v>
      </c>
      <c r="G47" s="111">
        <v>1</v>
      </c>
      <c r="H47" s="112">
        <v>2</v>
      </c>
      <c r="I47" s="112">
        <v>6</v>
      </c>
      <c r="J47" s="112">
        <v>6</v>
      </c>
      <c r="K47" s="112">
        <v>11</v>
      </c>
      <c r="L47" s="112">
        <v>12</v>
      </c>
      <c r="M47" s="112">
        <v>9</v>
      </c>
      <c r="N47" s="112">
        <v>3</v>
      </c>
      <c r="O47" s="113">
        <v>6</v>
      </c>
      <c r="P47" s="113">
        <v>4</v>
      </c>
      <c r="Q47" s="114">
        <v>2</v>
      </c>
      <c r="R47" s="15"/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6"/>
      <c r="AD47" s="16"/>
      <c r="AE47" s="16"/>
    </row>
    <row r="48" spans="1:31" ht="43" thickBot="1">
      <c r="A48" s="3" t="s">
        <v>67</v>
      </c>
      <c r="B48" s="115" t="s">
        <v>69</v>
      </c>
      <c r="C48" s="81">
        <v>0</v>
      </c>
      <c r="D48" s="63">
        <v>0</v>
      </c>
      <c r="E48" s="64">
        <v>0</v>
      </c>
      <c r="F48" s="21">
        <v>0</v>
      </c>
      <c r="G48" s="22">
        <v>0</v>
      </c>
      <c r="H48" s="23">
        <v>0</v>
      </c>
      <c r="I48" s="23">
        <v>0</v>
      </c>
      <c r="J48" s="23">
        <v>0</v>
      </c>
      <c r="K48" s="23">
        <v>0</v>
      </c>
      <c r="L48" s="23">
        <v>0</v>
      </c>
      <c r="M48" s="23">
        <v>0</v>
      </c>
      <c r="N48" s="23">
        <v>0</v>
      </c>
      <c r="O48" s="116">
        <v>0</v>
      </c>
      <c r="P48" s="116">
        <v>0</v>
      </c>
      <c r="Q48" s="80">
        <v>0</v>
      </c>
      <c r="R48" s="15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  <c r="AD48" s="16"/>
      <c r="AE48" s="16"/>
    </row>
    <row r="49" spans="1:31" ht="57" thickBot="1">
      <c r="A49" s="3" t="s">
        <v>67</v>
      </c>
      <c r="B49" s="30" t="s">
        <v>70</v>
      </c>
      <c r="C49" s="62">
        <v>17</v>
      </c>
      <c r="D49" s="67">
        <v>0.6</v>
      </c>
      <c r="E49" s="64">
        <v>0</v>
      </c>
      <c r="F49" s="21">
        <v>1</v>
      </c>
      <c r="G49" s="22">
        <v>3</v>
      </c>
      <c r="H49" s="23">
        <v>5</v>
      </c>
      <c r="I49" s="23">
        <v>4</v>
      </c>
      <c r="J49" s="23">
        <v>1</v>
      </c>
      <c r="K49" s="23">
        <v>0</v>
      </c>
      <c r="L49" s="23">
        <v>0</v>
      </c>
      <c r="M49" s="23">
        <v>0</v>
      </c>
      <c r="N49" s="23">
        <v>1</v>
      </c>
      <c r="O49" s="117">
        <v>1</v>
      </c>
      <c r="P49" s="117">
        <v>1</v>
      </c>
      <c r="Q49" s="118">
        <v>0</v>
      </c>
      <c r="R49" s="15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6"/>
      <c r="AD49" s="16"/>
      <c r="AE49" s="16"/>
    </row>
    <row r="50" spans="1:31" ht="71" thickBot="1">
      <c r="A50" s="3" t="s">
        <v>67</v>
      </c>
      <c r="B50" s="30" t="s">
        <v>71</v>
      </c>
      <c r="C50" s="62">
        <v>292</v>
      </c>
      <c r="D50" s="67">
        <v>9.8000000000000007</v>
      </c>
      <c r="E50" s="64">
        <v>32</v>
      </c>
      <c r="F50" s="21">
        <v>40</v>
      </c>
      <c r="G50" s="22">
        <v>37</v>
      </c>
      <c r="H50" s="23">
        <v>33</v>
      </c>
      <c r="I50" s="23">
        <v>34</v>
      </c>
      <c r="J50" s="23">
        <v>16</v>
      </c>
      <c r="K50" s="23">
        <v>14</v>
      </c>
      <c r="L50" s="23">
        <v>14</v>
      </c>
      <c r="M50" s="23">
        <v>16</v>
      </c>
      <c r="N50" s="23">
        <v>16</v>
      </c>
      <c r="O50" s="117">
        <v>15</v>
      </c>
      <c r="P50" s="117">
        <v>25</v>
      </c>
      <c r="Q50" s="80">
        <v>25</v>
      </c>
      <c r="R50" s="15"/>
      <c r="S50" s="16"/>
      <c r="T50" s="16"/>
      <c r="U50" s="16"/>
      <c r="V50" s="16"/>
      <c r="W50" s="16"/>
      <c r="X50" s="16"/>
      <c r="Y50" s="16"/>
      <c r="Z50" s="16"/>
      <c r="AA50" s="16"/>
      <c r="AB50" s="16"/>
      <c r="AC50" s="16"/>
      <c r="AD50" s="16"/>
      <c r="AE50" s="16"/>
    </row>
    <row r="51" spans="1:31" ht="71" thickBot="1">
      <c r="A51" s="3" t="s">
        <v>67</v>
      </c>
      <c r="B51" s="30" t="s">
        <v>72</v>
      </c>
      <c r="C51" s="62">
        <v>3</v>
      </c>
      <c r="D51" s="67">
        <v>0.1</v>
      </c>
      <c r="E51" s="64">
        <v>0</v>
      </c>
      <c r="F51" s="21">
        <v>1</v>
      </c>
      <c r="G51" s="22">
        <v>0</v>
      </c>
      <c r="H51" s="23">
        <v>1</v>
      </c>
      <c r="I51" s="23">
        <v>1</v>
      </c>
      <c r="J51" s="23">
        <v>0</v>
      </c>
      <c r="K51" s="23">
        <v>0</v>
      </c>
      <c r="L51" s="23">
        <v>0</v>
      </c>
      <c r="M51" s="23">
        <v>0</v>
      </c>
      <c r="N51" s="23">
        <v>0</v>
      </c>
      <c r="O51" s="116">
        <v>0</v>
      </c>
      <c r="P51" s="116">
        <v>0</v>
      </c>
      <c r="Q51" s="80">
        <v>1</v>
      </c>
      <c r="R51" s="15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  <c r="AD51" s="16"/>
      <c r="AE51" s="16"/>
    </row>
    <row r="52" spans="1:31" ht="57" thickBot="1">
      <c r="A52" s="3" t="s">
        <v>67</v>
      </c>
      <c r="B52" s="30" t="s">
        <v>73</v>
      </c>
      <c r="C52" s="62">
        <v>273</v>
      </c>
      <c r="D52" s="67">
        <v>9.1999999999999993</v>
      </c>
      <c r="E52" s="64">
        <v>28</v>
      </c>
      <c r="F52" s="21">
        <v>39</v>
      </c>
      <c r="G52" s="22">
        <v>29</v>
      </c>
      <c r="H52" s="23">
        <v>30</v>
      </c>
      <c r="I52" s="23">
        <v>21</v>
      </c>
      <c r="J52" s="23">
        <v>8</v>
      </c>
      <c r="K52" s="23">
        <v>17</v>
      </c>
      <c r="L52" s="23">
        <v>12</v>
      </c>
      <c r="M52" s="23">
        <v>18</v>
      </c>
      <c r="N52" s="23">
        <v>28</v>
      </c>
      <c r="O52" s="94">
        <v>13</v>
      </c>
      <c r="P52" s="94">
        <v>30</v>
      </c>
      <c r="Q52" s="80">
        <v>30</v>
      </c>
      <c r="R52" s="15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</row>
    <row r="53" spans="1:31" ht="71" thickBot="1">
      <c r="A53" s="3" t="s">
        <v>67</v>
      </c>
      <c r="B53" s="17" t="s">
        <v>74</v>
      </c>
      <c r="C53" s="119">
        <v>38</v>
      </c>
      <c r="D53" s="120">
        <v>1.3</v>
      </c>
      <c r="E53" s="64">
        <v>12</v>
      </c>
      <c r="F53" s="21">
        <v>2</v>
      </c>
      <c r="G53" s="22">
        <v>1</v>
      </c>
      <c r="H53" s="23">
        <v>3</v>
      </c>
      <c r="I53" s="23">
        <v>3</v>
      </c>
      <c r="J53" s="23">
        <v>3</v>
      </c>
      <c r="K53" s="23">
        <v>7</v>
      </c>
      <c r="L53" s="23">
        <v>2</v>
      </c>
      <c r="M53" s="23">
        <v>3</v>
      </c>
      <c r="N53" s="23">
        <v>1</v>
      </c>
      <c r="O53" s="116">
        <v>0</v>
      </c>
      <c r="P53" s="116">
        <v>1</v>
      </c>
      <c r="Q53" s="80">
        <v>4</v>
      </c>
      <c r="R53" s="15"/>
      <c r="S53" s="16"/>
      <c r="T53" s="16"/>
      <c r="U53" s="16"/>
      <c r="V53" s="16"/>
      <c r="W53" s="16"/>
      <c r="X53" s="16"/>
      <c r="Y53" s="16"/>
      <c r="Z53" s="16"/>
      <c r="AA53" s="16"/>
      <c r="AB53" s="16"/>
      <c r="AC53" s="16"/>
      <c r="AD53" s="16"/>
      <c r="AE53" s="16"/>
    </row>
    <row r="54" spans="1:31" ht="43" thickBot="1">
      <c r="A54" s="3" t="s">
        <v>67</v>
      </c>
      <c r="B54" s="68" t="s">
        <v>75</v>
      </c>
      <c r="C54" s="69">
        <v>376</v>
      </c>
      <c r="D54" s="70">
        <v>12.7</v>
      </c>
      <c r="E54" s="71">
        <v>25</v>
      </c>
      <c r="F54" s="46">
        <v>27</v>
      </c>
      <c r="G54" s="47">
        <v>27</v>
      </c>
      <c r="H54" s="48">
        <v>31</v>
      </c>
      <c r="I54" s="48">
        <v>45</v>
      </c>
      <c r="J54" s="48">
        <v>39</v>
      </c>
      <c r="K54" s="48">
        <v>36</v>
      </c>
      <c r="L54" s="48">
        <v>30</v>
      </c>
      <c r="M54" s="48">
        <v>37</v>
      </c>
      <c r="N54" s="48">
        <v>37</v>
      </c>
      <c r="O54" s="121">
        <v>25</v>
      </c>
      <c r="P54" s="122">
        <v>17</v>
      </c>
      <c r="Q54" s="105">
        <v>26</v>
      </c>
      <c r="R54" s="15"/>
      <c r="S54" s="16"/>
      <c r="T54" s="219">
        <f>SUM(C47:C54)</f>
        <v>1063</v>
      </c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</row>
    <row r="55" spans="1:31" ht="31" thickBot="1">
      <c r="A55" s="123" t="s">
        <v>76</v>
      </c>
      <c r="B55" s="52" t="s">
        <v>77</v>
      </c>
      <c r="C55" s="124">
        <v>9</v>
      </c>
      <c r="D55" s="125">
        <v>0.3</v>
      </c>
      <c r="E55" s="126">
        <v>0</v>
      </c>
      <c r="F55" s="127">
        <v>0</v>
      </c>
      <c r="G55" s="128">
        <v>0</v>
      </c>
      <c r="H55" s="129">
        <v>0</v>
      </c>
      <c r="I55" s="129">
        <v>0</v>
      </c>
      <c r="J55" s="129">
        <v>2</v>
      </c>
      <c r="K55" s="129">
        <v>4</v>
      </c>
      <c r="L55" s="129">
        <v>1</v>
      </c>
      <c r="M55" s="129">
        <v>0</v>
      </c>
      <c r="N55" s="129">
        <v>1</v>
      </c>
      <c r="O55" s="130">
        <v>1</v>
      </c>
      <c r="P55" s="130">
        <v>0</v>
      </c>
      <c r="Q55" s="131" t="s">
        <v>60</v>
      </c>
      <c r="R55" s="15"/>
      <c r="S55" s="16"/>
      <c r="T55" s="16"/>
      <c r="U55" s="16"/>
      <c r="V55" s="16"/>
      <c r="W55" s="16"/>
      <c r="X55" s="16"/>
      <c r="Y55" s="16"/>
      <c r="Z55" s="16"/>
      <c r="AA55" s="16"/>
      <c r="AB55" s="16"/>
      <c r="AC55" s="16"/>
      <c r="AD55" s="16"/>
      <c r="AE55" s="16"/>
    </row>
    <row r="56" spans="1:31" ht="31" thickBot="1">
      <c r="A56" s="123" t="s">
        <v>76</v>
      </c>
      <c r="B56" s="52" t="s">
        <v>78</v>
      </c>
      <c r="C56" s="132">
        <v>0</v>
      </c>
      <c r="D56" s="120">
        <v>0</v>
      </c>
      <c r="E56" s="133">
        <v>0</v>
      </c>
      <c r="F56" s="134">
        <v>0</v>
      </c>
      <c r="G56" s="135">
        <v>0</v>
      </c>
      <c r="H56" s="136">
        <v>0</v>
      </c>
      <c r="I56" s="136">
        <v>0</v>
      </c>
      <c r="J56" s="136">
        <v>0</v>
      </c>
      <c r="K56" s="136">
        <v>0</v>
      </c>
      <c r="L56" s="136">
        <v>0</v>
      </c>
      <c r="M56" s="136">
        <v>0</v>
      </c>
      <c r="N56" s="136">
        <v>0</v>
      </c>
      <c r="O56" s="137">
        <v>0</v>
      </c>
      <c r="P56" s="137">
        <v>0</v>
      </c>
      <c r="Q56" s="80" t="s">
        <v>60</v>
      </c>
      <c r="R56" s="15"/>
      <c r="S56" s="16"/>
      <c r="T56" s="16"/>
      <c r="U56" s="16"/>
      <c r="V56" s="16"/>
      <c r="W56" s="16"/>
      <c r="X56" s="16"/>
      <c r="Y56" s="16"/>
      <c r="Z56" s="16"/>
      <c r="AA56" s="16"/>
      <c r="AB56" s="16"/>
      <c r="AC56" s="16"/>
      <c r="AD56" s="16"/>
      <c r="AE56" s="16"/>
    </row>
    <row r="57" spans="1:31" ht="17" thickBot="1">
      <c r="A57" s="123" t="s">
        <v>76</v>
      </c>
      <c r="B57" s="52" t="s">
        <v>79</v>
      </c>
      <c r="C57" s="53">
        <v>3</v>
      </c>
      <c r="D57" s="54">
        <v>0.1</v>
      </c>
      <c r="E57" s="64">
        <v>0</v>
      </c>
      <c r="F57" s="138">
        <v>0</v>
      </c>
      <c r="G57" s="139">
        <v>0</v>
      </c>
      <c r="H57" s="140">
        <v>0</v>
      </c>
      <c r="I57" s="140">
        <v>0</v>
      </c>
      <c r="J57" s="140">
        <v>1</v>
      </c>
      <c r="K57" s="140">
        <v>1</v>
      </c>
      <c r="L57" s="140">
        <v>0</v>
      </c>
      <c r="M57" s="140">
        <v>0</v>
      </c>
      <c r="N57" s="140">
        <v>1</v>
      </c>
      <c r="O57" s="141">
        <v>0</v>
      </c>
      <c r="P57" s="141">
        <v>0</v>
      </c>
      <c r="Q57" s="142">
        <v>0</v>
      </c>
      <c r="R57" s="15"/>
      <c r="S57" s="16"/>
      <c r="T57" s="16"/>
      <c r="U57" s="16"/>
      <c r="V57" s="16"/>
      <c r="W57" s="16"/>
      <c r="X57" s="16"/>
      <c r="Y57" s="16"/>
      <c r="Z57" s="16"/>
      <c r="AA57" s="16"/>
      <c r="AB57" s="16"/>
      <c r="AC57" s="16"/>
      <c r="AD57" s="16"/>
      <c r="AE57" s="16"/>
    </row>
    <row r="58" spans="1:31" ht="57" thickBot="1">
      <c r="A58" s="123" t="s">
        <v>76</v>
      </c>
      <c r="B58" s="52" t="s">
        <v>80</v>
      </c>
      <c r="C58" s="62">
        <v>0</v>
      </c>
      <c r="D58" s="67">
        <v>0</v>
      </c>
      <c r="E58" s="20">
        <v>0</v>
      </c>
      <c r="F58" s="21">
        <v>0</v>
      </c>
      <c r="G58" s="22">
        <v>0</v>
      </c>
      <c r="H58" s="23">
        <v>0</v>
      </c>
      <c r="I58" s="23">
        <v>0</v>
      </c>
      <c r="J58" s="23">
        <v>0</v>
      </c>
      <c r="K58" s="23">
        <v>0</v>
      </c>
      <c r="L58" s="23">
        <v>0</v>
      </c>
      <c r="M58" s="23">
        <v>0</v>
      </c>
      <c r="N58" s="23">
        <v>0</v>
      </c>
      <c r="O58" s="116">
        <v>0</v>
      </c>
      <c r="P58" s="116">
        <v>0</v>
      </c>
      <c r="Q58" s="80">
        <v>0</v>
      </c>
      <c r="R58" s="15"/>
      <c r="S58" s="16"/>
      <c r="T58" s="16"/>
      <c r="U58" s="16"/>
      <c r="V58" s="16"/>
      <c r="W58" s="16"/>
      <c r="X58" s="16"/>
      <c r="Y58" s="16"/>
      <c r="Z58" s="16"/>
      <c r="AA58" s="16"/>
      <c r="AB58" s="16"/>
      <c r="AC58" s="16"/>
      <c r="AD58" s="16"/>
      <c r="AE58" s="16"/>
    </row>
    <row r="59" spans="1:31" ht="29" thickBot="1">
      <c r="A59" s="123" t="s">
        <v>76</v>
      </c>
      <c r="B59" s="52" t="s">
        <v>81</v>
      </c>
      <c r="C59" s="62">
        <v>2</v>
      </c>
      <c r="D59" s="67" t="s">
        <v>27</v>
      </c>
      <c r="E59" s="20">
        <v>0</v>
      </c>
      <c r="F59" s="21">
        <v>0</v>
      </c>
      <c r="G59" s="22">
        <v>0</v>
      </c>
      <c r="H59" s="23">
        <v>0</v>
      </c>
      <c r="I59" s="23">
        <v>0</v>
      </c>
      <c r="J59" s="23">
        <v>0</v>
      </c>
      <c r="K59" s="23">
        <v>0</v>
      </c>
      <c r="L59" s="23">
        <v>1</v>
      </c>
      <c r="M59" s="23">
        <v>0</v>
      </c>
      <c r="N59" s="23">
        <v>0</v>
      </c>
      <c r="O59" s="116">
        <v>0</v>
      </c>
      <c r="P59" s="116">
        <v>1</v>
      </c>
      <c r="Q59" s="143">
        <v>0</v>
      </c>
      <c r="R59" s="15"/>
      <c r="S59" s="16"/>
      <c r="T59" s="16"/>
      <c r="U59" s="16"/>
      <c r="V59" s="16"/>
      <c r="W59" s="16"/>
      <c r="X59" s="16"/>
      <c r="Y59" s="16"/>
      <c r="Z59" s="16"/>
      <c r="AA59" s="16"/>
      <c r="AB59" s="16"/>
      <c r="AC59" s="16"/>
      <c r="AD59" s="16"/>
      <c r="AE59" s="16"/>
    </row>
    <row r="60" spans="1:31" ht="29" thickBot="1">
      <c r="A60" s="123" t="s">
        <v>76</v>
      </c>
      <c r="B60" s="30" t="s">
        <v>82</v>
      </c>
      <c r="C60" s="62">
        <v>221</v>
      </c>
      <c r="D60" s="67">
        <v>7.5</v>
      </c>
      <c r="E60" s="20">
        <v>0</v>
      </c>
      <c r="F60" s="21">
        <v>4</v>
      </c>
      <c r="G60" s="22">
        <v>0</v>
      </c>
      <c r="H60" s="23">
        <v>1</v>
      </c>
      <c r="I60" s="23">
        <v>15</v>
      </c>
      <c r="J60" s="23">
        <v>37</v>
      </c>
      <c r="K60" s="23">
        <v>41</v>
      </c>
      <c r="L60" s="23">
        <v>49</v>
      </c>
      <c r="M60" s="23">
        <v>35</v>
      </c>
      <c r="N60" s="23">
        <v>30</v>
      </c>
      <c r="O60" s="116">
        <v>7</v>
      </c>
      <c r="P60" s="116">
        <v>2</v>
      </c>
      <c r="Q60" s="143">
        <v>2</v>
      </c>
      <c r="R60" s="15"/>
      <c r="S60" s="16"/>
      <c r="T60" s="16"/>
      <c r="U60" s="16"/>
      <c r="V60" s="16"/>
      <c r="W60" s="16"/>
      <c r="X60" s="16"/>
      <c r="Y60" s="16"/>
      <c r="Z60" s="16"/>
      <c r="AA60" s="16"/>
      <c r="AB60" s="16"/>
      <c r="AC60" s="16"/>
      <c r="AD60" s="16"/>
      <c r="AE60" s="16"/>
    </row>
    <row r="61" spans="1:31" ht="31" thickBot="1">
      <c r="A61" s="123" t="s">
        <v>76</v>
      </c>
      <c r="B61" s="30" t="s">
        <v>83</v>
      </c>
      <c r="C61" s="62">
        <v>0</v>
      </c>
      <c r="D61" s="67">
        <v>0</v>
      </c>
      <c r="E61" s="20">
        <v>0</v>
      </c>
      <c r="F61" s="21">
        <v>0</v>
      </c>
      <c r="G61" s="22">
        <v>0</v>
      </c>
      <c r="H61" s="23">
        <v>0</v>
      </c>
      <c r="I61" s="23">
        <v>0</v>
      </c>
      <c r="J61" s="23">
        <v>0</v>
      </c>
      <c r="K61" s="23">
        <v>0</v>
      </c>
      <c r="L61" s="23">
        <v>0</v>
      </c>
      <c r="M61" s="23">
        <v>0</v>
      </c>
      <c r="N61" s="23">
        <v>0</v>
      </c>
      <c r="O61" s="116">
        <v>0</v>
      </c>
      <c r="P61" s="116">
        <v>0</v>
      </c>
      <c r="Q61" s="143" t="s">
        <v>60</v>
      </c>
      <c r="R61" s="15"/>
      <c r="S61" s="16"/>
      <c r="T61" s="16"/>
      <c r="U61" s="16"/>
      <c r="V61" s="16"/>
      <c r="W61" s="16"/>
      <c r="X61" s="16"/>
      <c r="Y61" s="16"/>
      <c r="Z61" s="16"/>
      <c r="AA61" s="16"/>
      <c r="AB61" s="16"/>
      <c r="AC61" s="16"/>
      <c r="AD61" s="16"/>
      <c r="AE61" s="16"/>
    </row>
    <row r="62" spans="1:31" ht="17" thickBot="1">
      <c r="A62" s="123" t="s">
        <v>76</v>
      </c>
      <c r="B62" s="30" t="s">
        <v>84</v>
      </c>
      <c r="C62" s="144">
        <v>5</v>
      </c>
      <c r="D62" s="67">
        <v>0.2</v>
      </c>
      <c r="E62" s="64">
        <v>0</v>
      </c>
      <c r="F62" s="21">
        <v>0</v>
      </c>
      <c r="G62" s="22">
        <v>0</v>
      </c>
      <c r="H62" s="23">
        <v>0</v>
      </c>
      <c r="I62" s="23">
        <v>1</v>
      </c>
      <c r="J62" s="23">
        <v>0</v>
      </c>
      <c r="K62" s="23">
        <v>2</v>
      </c>
      <c r="L62" s="23">
        <v>1</v>
      </c>
      <c r="M62" s="23">
        <v>0</v>
      </c>
      <c r="N62" s="23">
        <v>0</v>
      </c>
      <c r="O62" s="116">
        <v>0</v>
      </c>
      <c r="P62" s="116">
        <v>1</v>
      </c>
      <c r="Q62" s="143">
        <v>0</v>
      </c>
      <c r="R62" s="15"/>
      <c r="S62" s="16"/>
      <c r="T62" s="16"/>
      <c r="U62" s="16"/>
      <c r="V62" s="16"/>
      <c r="W62" s="16"/>
      <c r="X62" s="16"/>
      <c r="Y62" s="16"/>
      <c r="Z62" s="16"/>
      <c r="AA62" s="16"/>
      <c r="AB62" s="16"/>
      <c r="AC62" s="16"/>
      <c r="AD62" s="16"/>
      <c r="AE62" s="16"/>
    </row>
    <row r="63" spans="1:31" ht="17" thickBot="1">
      <c r="A63" s="123" t="s">
        <v>76</v>
      </c>
      <c r="B63" s="30" t="s">
        <v>85</v>
      </c>
      <c r="C63" s="144">
        <v>0</v>
      </c>
      <c r="D63" s="67">
        <v>0</v>
      </c>
      <c r="E63" s="64">
        <v>0</v>
      </c>
      <c r="F63" s="21">
        <v>0</v>
      </c>
      <c r="G63" s="22">
        <v>0</v>
      </c>
      <c r="H63" s="23">
        <v>0</v>
      </c>
      <c r="I63" s="23">
        <v>0</v>
      </c>
      <c r="J63" s="23">
        <v>0</v>
      </c>
      <c r="K63" s="23">
        <v>0</v>
      </c>
      <c r="L63" s="23">
        <v>0</v>
      </c>
      <c r="M63" s="23">
        <v>0</v>
      </c>
      <c r="N63" s="23">
        <v>0</v>
      </c>
      <c r="O63" s="116">
        <v>0</v>
      </c>
      <c r="P63" s="116">
        <v>0</v>
      </c>
      <c r="Q63" s="143">
        <v>0</v>
      </c>
      <c r="R63" s="15"/>
      <c r="S63" s="16"/>
      <c r="T63" s="16"/>
      <c r="U63" s="16"/>
      <c r="V63" s="16"/>
      <c r="W63" s="16"/>
      <c r="X63" s="16"/>
      <c r="Y63" s="16"/>
      <c r="Z63" s="16"/>
      <c r="AA63" s="16"/>
      <c r="AB63" s="16"/>
      <c r="AC63" s="16"/>
      <c r="AD63" s="16"/>
      <c r="AE63" s="16"/>
    </row>
    <row r="64" spans="1:31" ht="17" thickBot="1">
      <c r="A64" s="123" t="s">
        <v>76</v>
      </c>
      <c r="B64" s="30" t="s">
        <v>86</v>
      </c>
      <c r="C64" s="144">
        <v>0</v>
      </c>
      <c r="D64" s="67">
        <v>0</v>
      </c>
      <c r="E64" s="64">
        <v>0</v>
      </c>
      <c r="F64" s="21">
        <v>0</v>
      </c>
      <c r="G64" s="22">
        <v>0</v>
      </c>
      <c r="H64" s="23">
        <v>0</v>
      </c>
      <c r="I64" s="23">
        <v>0</v>
      </c>
      <c r="J64" s="23">
        <v>0</v>
      </c>
      <c r="K64" s="23">
        <v>0</v>
      </c>
      <c r="L64" s="23">
        <v>0</v>
      </c>
      <c r="M64" s="23">
        <v>0</v>
      </c>
      <c r="N64" s="23">
        <v>0</v>
      </c>
      <c r="O64" s="116">
        <v>0</v>
      </c>
      <c r="P64" s="116">
        <v>0</v>
      </c>
      <c r="Q64" s="143">
        <v>0</v>
      </c>
      <c r="R64" s="15"/>
      <c r="S64" s="16"/>
      <c r="T64" s="16"/>
      <c r="U64" s="16"/>
      <c r="V64" s="16"/>
      <c r="W64" s="16"/>
      <c r="X64" s="16"/>
      <c r="Y64" s="16"/>
      <c r="Z64" s="16"/>
      <c r="AA64" s="16"/>
      <c r="AB64" s="16"/>
      <c r="AC64" s="16"/>
      <c r="AD64" s="16"/>
      <c r="AE64" s="16"/>
    </row>
    <row r="65" spans="1:31" ht="29" thickBot="1">
      <c r="A65" s="123" t="s">
        <v>76</v>
      </c>
      <c r="B65" s="30" t="s">
        <v>87</v>
      </c>
      <c r="C65" s="145">
        <v>14</v>
      </c>
      <c r="D65" s="108">
        <v>0.5</v>
      </c>
      <c r="E65" s="146">
        <v>0</v>
      </c>
      <c r="F65" s="46">
        <v>1</v>
      </c>
      <c r="G65" s="47">
        <v>0</v>
      </c>
      <c r="H65" s="48">
        <v>0</v>
      </c>
      <c r="I65" s="48">
        <v>1</v>
      </c>
      <c r="J65" s="48">
        <v>0</v>
      </c>
      <c r="K65" s="48">
        <v>1</v>
      </c>
      <c r="L65" s="48">
        <v>6</v>
      </c>
      <c r="M65" s="48">
        <v>4</v>
      </c>
      <c r="N65" s="48">
        <v>1</v>
      </c>
      <c r="O65" s="147">
        <v>0</v>
      </c>
      <c r="P65" s="147">
        <v>0</v>
      </c>
      <c r="Q65" s="105">
        <v>0</v>
      </c>
      <c r="R65" s="15"/>
      <c r="S65" s="16"/>
      <c r="T65" s="16">
        <f>SUM(C55:C65)</f>
        <v>254</v>
      </c>
      <c r="U65" s="16"/>
      <c r="V65" s="16"/>
      <c r="W65" s="16"/>
      <c r="X65" s="16"/>
      <c r="Y65" s="16"/>
      <c r="Z65" s="16"/>
      <c r="AA65" s="16"/>
      <c r="AB65" s="16"/>
      <c r="AC65" s="16"/>
      <c r="AD65" s="16"/>
      <c r="AE65" s="16"/>
    </row>
    <row r="66" spans="1:31" ht="29" thickBot="1">
      <c r="A66" s="3" t="s">
        <v>88</v>
      </c>
      <c r="B66" s="148" t="s">
        <v>89</v>
      </c>
      <c r="C66" s="149">
        <v>4</v>
      </c>
      <c r="D66" s="150">
        <v>0.1</v>
      </c>
      <c r="E66" s="151">
        <v>0</v>
      </c>
      <c r="F66" s="8">
        <v>0</v>
      </c>
      <c r="G66" s="9">
        <v>0</v>
      </c>
      <c r="H66" s="10">
        <v>1</v>
      </c>
      <c r="I66" s="10">
        <v>1</v>
      </c>
      <c r="J66" s="10">
        <v>0</v>
      </c>
      <c r="K66" s="10">
        <v>0</v>
      </c>
      <c r="L66" s="10">
        <v>0</v>
      </c>
      <c r="M66" s="10">
        <v>2</v>
      </c>
      <c r="N66" s="10">
        <v>0</v>
      </c>
      <c r="O66" s="11">
        <v>0</v>
      </c>
      <c r="P66" s="12">
        <v>0</v>
      </c>
      <c r="Q66" s="13" t="s">
        <v>63</v>
      </c>
      <c r="R66" s="15"/>
      <c r="S66" s="16"/>
      <c r="T66" s="16"/>
      <c r="U66" s="16"/>
      <c r="V66" s="16"/>
      <c r="W66" s="16"/>
      <c r="X66" s="16"/>
      <c r="Y66" s="16"/>
      <c r="Z66" s="16"/>
      <c r="AA66" s="16"/>
      <c r="AB66" s="16"/>
      <c r="AC66" s="16"/>
      <c r="AD66" s="16"/>
      <c r="AE66" s="16"/>
    </row>
    <row r="67" spans="1:31" ht="73" thickBot="1">
      <c r="A67" s="3" t="s">
        <v>88</v>
      </c>
      <c r="B67" s="152" t="s">
        <v>90</v>
      </c>
      <c r="C67" s="153">
        <v>325</v>
      </c>
      <c r="D67" s="63">
        <v>11</v>
      </c>
      <c r="E67" s="82">
        <v>21</v>
      </c>
      <c r="F67" s="83">
        <v>29</v>
      </c>
      <c r="G67" s="84">
        <v>18</v>
      </c>
      <c r="H67" s="85">
        <v>34</v>
      </c>
      <c r="I67" s="85">
        <v>23</v>
      </c>
      <c r="J67" s="85">
        <v>30</v>
      </c>
      <c r="K67" s="85">
        <v>40</v>
      </c>
      <c r="L67" s="85">
        <v>28</v>
      </c>
      <c r="M67" s="85">
        <v>21</v>
      </c>
      <c r="N67" s="85">
        <v>29</v>
      </c>
      <c r="O67" s="86">
        <v>35</v>
      </c>
      <c r="P67" s="87">
        <v>17</v>
      </c>
      <c r="Q67" s="80">
        <v>15</v>
      </c>
      <c r="R67" s="15"/>
      <c r="S67" s="16"/>
      <c r="T67" s="16"/>
      <c r="U67" s="16"/>
      <c r="V67" s="16"/>
      <c r="W67" s="16"/>
      <c r="X67" s="16"/>
      <c r="Y67" s="16"/>
      <c r="Z67" s="16"/>
      <c r="AA67" s="16"/>
      <c r="AB67" s="16"/>
      <c r="AC67" s="16"/>
      <c r="AD67" s="16"/>
      <c r="AE67" s="16"/>
    </row>
    <row r="68" spans="1:31" ht="113" thickBot="1">
      <c r="A68" s="3" t="s">
        <v>88</v>
      </c>
      <c r="B68" s="154" t="s">
        <v>91</v>
      </c>
      <c r="C68" s="155">
        <v>0</v>
      </c>
      <c r="D68" s="156">
        <v>0</v>
      </c>
      <c r="E68" s="99">
        <v>0</v>
      </c>
      <c r="F68" s="100">
        <v>0</v>
      </c>
      <c r="G68" s="101">
        <v>0</v>
      </c>
      <c r="H68" s="102">
        <v>0</v>
      </c>
      <c r="I68" s="102">
        <v>0</v>
      </c>
      <c r="J68" s="102">
        <v>0</v>
      </c>
      <c r="K68" s="102">
        <v>0</v>
      </c>
      <c r="L68" s="102">
        <v>0</v>
      </c>
      <c r="M68" s="102">
        <v>0</v>
      </c>
      <c r="N68" s="102">
        <v>0</v>
      </c>
      <c r="O68" s="103">
        <v>0</v>
      </c>
      <c r="P68" s="104">
        <v>0</v>
      </c>
      <c r="Q68" s="105" t="s">
        <v>63</v>
      </c>
      <c r="R68" s="15"/>
      <c r="S68" s="16"/>
      <c r="T68" s="219">
        <f>SUM(C66:C68)</f>
        <v>329</v>
      </c>
      <c r="U68" s="16"/>
      <c r="V68" s="16"/>
      <c r="W68" s="16"/>
      <c r="X68" s="16"/>
      <c r="Y68" s="16"/>
      <c r="Z68" s="16"/>
      <c r="AA68" s="16"/>
      <c r="AB68" s="16"/>
      <c r="AC68" s="16"/>
      <c r="AD68" s="16"/>
      <c r="AE68" s="16"/>
    </row>
    <row r="69" spans="1:31" ht="59" thickBot="1">
      <c r="A69" s="3" t="s">
        <v>92</v>
      </c>
      <c r="B69" s="4" t="s">
        <v>93</v>
      </c>
      <c r="C69" s="157" t="s">
        <v>94</v>
      </c>
      <c r="D69" s="158" t="s">
        <v>94</v>
      </c>
      <c r="E69" s="159" t="s">
        <v>94</v>
      </c>
      <c r="F69" s="160" t="s">
        <v>94</v>
      </c>
      <c r="G69" s="161" t="s">
        <v>94</v>
      </c>
      <c r="H69" s="162" t="s">
        <v>94</v>
      </c>
      <c r="I69" s="162" t="s">
        <v>94</v>
      </c>
      <c r="J69" s="162" t="s">
        <v>94</v>
      </c>
      <c r="K69" s="162" t="s">
        <v>94</v>
      </c>
      <c r="L69" s="162" t="s">
        <v>94</v>
      </c>
      <c r="M69" s="162" t="s">
        <v>94</v>
      </c>
      <c r="N69" s="162" t="s">
        <v>94</v>
      </c>
      <c r="O69" s="163" t="s">
        <v>94</v>
      </c>
      <c r="P69" s="164" t="s">
        <v>94</v>
      </c>
      <c r="Q69" s="165" t="s">
        <v>94</v>
      </c>
      <c r="R69" s="15"/>
      <c r="S69" s="16"/>
      <c r="T69" s="16"/>
      <c r="U69" s="16"/>
      <c r="V69" s="16"/>
      <c r="W69" s="16"/>
      <c r="X69" s="16"/>
      <c r="Y69" s="16"/>
      <c r="Z69" s="16"/>
      <c r="AA69" s="16"/>
      <c r="AB69" s="16"/>
      <c r="AC69" s="16"/>
      <c r="AD69" s="16"/>
      <c r="AE69" s="16"/>
    </row>
    <row r="70" spans="1:31" ht="45" thickBot="1">
      <c r="A70" s="3" t="s">
        <v>92</v>
      </c>
      <c r="B70" s="30" t="s">
        <v>95</v>
      </c>
      <c r="C70" s="166" t="s">
        <v>94</v>
      </c>
      <c r="D70" s="167" t="s">
        <v>94</v>
      </c>
      <c r="E70" s="168" t="s">
        <v>94</v>
      </c>
      <c r="F70" s="35" t="s">
        <v>94</v>
      </c>
      <c r="G70" s="36" t="s">
        <v>94</v>
      </c>
      <c r="H70" s="37" t="s">
        <v>94</v>
      </c>
      <c r="I70" s="37" t="s">
        <v>94</v>
      </c>
      <c r="J70" s="37" t="s">
        <v>94</v>
      </c>
      <c r="K70" s="37" t="s">
        <v>94</v>
      </c>
      <c r="L70" s="37" t="s">
        <v>94</v>
      </c>
      <c r="M70" s="37" t="s">
        <v>94</v>
      </c>
      <c r="N70" s="37" t="s">
        <v>94</v>
      </c>
      <c r="O70" s="38" t="s">
        <v>94</v>
      </c>
      <c r="P70" s="39" t="s">
        <v>94</v>
      </c>
      <c r="Q70" s="40" t="s">
        <v>94</v>
      </c>
      <c r="R70" s="15"/>
      <c r="S70" s="16"/>
      <c r="T70" s="169"/>
      <c r="U70" s="169"/>
      <c r="V70" s="169"/>
      <c r="W70" s="169"/>
      <c r="X70" s="169"/>
      <c r="Y70" s="169"/>
      <c r="Z70" s="169"/>
      <c r="AA70" s="169"/>
      <c r="AB70" s="169"/>
      <c r="AC70" s="169"/>
      <c r="AD70" s="169"/>
      <c r="AE70" s="169"/>
    </row>
    <row r="71" spans="1:31" ht="45" thickBot="1">
      <c r="A71" s="3" t="s">
        <v>92</v>
      </c>
      <c r="B71" s="30" t="s">
        <v>96</v>
      </c>
      <c r="C71" s="166" t="s">
        <v>94</v>
      </c>
      <c r="D71" s="167" t="s">
        <v>94</v>
      </c>
      <c r="E71" s="168" t="s">
        <v>94</v>
      </c>
      <c r="F71" s="35" t="s">
        <v>94</v>
      </c>
      <c r="G71" s="36" t="s">
        <v>94</v>
      </c>
      <c r="H71" s="37" t="s">
        <v>94</v>
      </c>
      <c r="I71" s="37" t="s">
        <v>94</v>
      </c>
      <c r="J71" s="37" t="s">
        <v>94</v>
      </c>
      <c r="K71" s="37" t="s">
        <v>94</v>
      </c>
      <c r="L71" s="37" t="s">
        <v>94</v>
      </c>
      <c r="M71" s="37" t="s">
        <v>94</v>
      </c>
      <c r="N71" s="37" t="s">
        <v>94</v>
      </c>
      <c r="O71" s="38" t="s">
        <v>94</v>
      </c>
      <c r="P71" s="39" t="s">
        <v>94</v>
      </c>
      <c r="Q71" s="40" t="s">
        <v>94</v>
      </c>
      <c r="R71" s="15"/>
      <c r="S71" s="16"/>
      <c r="T71" s="169"/>
      <c r="U71" s="169"/>
      <c r="V71" s="169"/>
      <c r="W71" s="169"/>
      <c r="X71" s="169"/>
      <c r="Y71" s="169"/>
      <c r="Z71" s="169"/>
      <c r="AA71" s="169"/>
      <c r="AB71" s="169"/>
      <c r="AC71" s="169"/>
      <c r="AD71" s="169"/>
      <c r="AE71" s="169"/>
    </row>
    <row r="72" spans="1:31" ht="59" thickBot="1">
      <c r="A72" s="3" t="s">
        <v>92</v>
      </c>
      <c r="B72" s="68" t="s">
        <v>97</v>
      </c>
      <c r="C72" s="170" t="s">
        <v>94</v>
      </c>
      <c r="D72" s="171" t="s">
        <v>94</v>
      </c>
      <c r="E72" s="172" t="s">
        <v>94</v>
      </c>
      <c r="F72" s="173" t="s">
        <v>94</v>
      </c>
      <c r="G72" s="174" t="s">
        <v>94</v>
      </c>
      <c r="H72" s="175" t="s">
        <v>94</v>
      </c>
      <c r="I72" s="175" t="s">
        <v>94</v>
      </c>
      <c r="J72" s="175" t="s">
        <v>94</v>
      </c>
      <c r="K72" s="175" t="s">
        <v>94</v>
      </c>
      <c r="L72" s="175" t="s">
        <v>94</v>
      </c>
      <c r="M72" s="175" t="s">
        <v>94</v>
      </c>
      <c r="N72" s="175" t="s">
        <v>94</v>
      </c>
      <c r="O72" s="176" t="s">
        <v>94</v>
      </c>
      <c r="P72" s="177" t="s">
        <v>94</v>
      </c>
      <c r="Q72" s="178" t="s">
        <v>94</v>
      </c>
      <c r="R72" s="15"/>
      <c r="S72" s="16"/>
      <c r="T72" s="169"/>
      <c r="U72" s="169"/>
      <c r="V72" s="169"/>
      <c r="W72" s="169"/>
      <c r="X72" s="169"/>
      <c r="Y72" s="169"/>
      <c r="Z72" s="169"/>
      <c r="AA72" s="169"/>
      <c r="AB72" s="169"/>
      <c r="AC72" s="169"/>
      <c r="AD72" s="169"/>
      <c r="AE72" s="169"/>
    </row>
    <row r="73" spans="1:31" ht="31" thickBot="1">
      <c r="A73" s="3" t="s">
        <v>98</v>
      </c>
      <c r="B73" s="42" t="s">
        <v>99</v>
      </c>
      <c r="C73" s="179">
        <v>215</v>
      </c>
      <c r="D73" s="180">
        <v>7.2</v>
      </c>
      <c r="E73" s="55">
        <v>30</v>
      </c>
      <c r="F73" s="56">
        <v>29</v>
      </c>
      <c r="G73" s="57">
        <v>26</v>
      </c>
      <c r="H73" s="58">
        <v>23</v>
      </c>
      <c r="I73" s="58">
        <v>15</v>
      </c>
      <c r="J73" s="58">
        <v>6</v>
      </c>
      <c r="K73" s="58">
        <v>8</v>
      </c>
      <c r="L73" s="58">
        <v>7</v>
      </c>
      <c r="M73" s="58">
        <v>5</v>
      </c>
      <c r="N73" s="58">
        <v>9</v>
      </c>
      <c r="O73" s="59">
        <v>18</v>
      </c>
      <c r="P73" s="60">
        <v>39</v>
      </c>
      <c r="Q73" s="61">
        <v>14</v>
      </c>
      <c r="R73" s="182"/>
      <c r="S73" s="16"/>
      <c r="T73" s="181"/>
      <c r="U73" s="181"/>
      <c r="V73" s="181"/>
      <c r="W73" s="181"/>
      <c r="X73" s="181"/>
      <c r="Y73" s="181"/>
      <c r="Z73" s="181"/>
      <c r="AA73" s="181"/>
      <c r="AB73" s="181"/>
      <c r="AC73" s="181"/>
      <c r="AD73" s="181"/>
      <c r="AE73" s="181"/>
    </row>
    <row r="74" spans="1:31" ht="31" thickBot="1">
      <c r="A74" s="3" t="s">
        <v>98</v>
      </c>
      <c r="B74" s="152" t="s">
        <v>100</v>
      </c>
      <c r="C74" s="29">
        <v>965</v>
      </c>
      <c r="D74" s="19">
        <v>32.5</v>
      </c>
      <c r="E74" s="64">
        <v>144</v>
      </c>
      <c r="F74" s="21">
        <v>60</v>
      </c>
      <c r="G74" s="22">
        <v>51</v>
      </c>
      <c r="H74" s="23">
        <v>70</v>
      </c>
      <c r="I74" s="23">
        <v>84</v>
      </c>
      <c r="J74" s="23">
        <v>50</v>
      </c>
      <c r="K74" s="23">
        <v>63</v>
      </c>
      <c r="L74" s="23">
        <v>79</v>
      </c>
      <c r="M74" s="23">
        <v>79</v>
      </c>
      <c r="N74" s="23">
        <v>81</v>
      </c>
      <c r="O74" s="24">
        <v>71</v>
      </c>
      <c r="P74" s="25">
        <v>133</v>
      </c>
      <c r="Q74" s="26">
        <v>204</v>
      </c>
      <c r="R74" s="182"/>
      <c r="S74" s="16"/>
      <c r="T74" s="181"/>
      <c r="U74" s="181"/>
      <c r="V74" s="181"/>
      <c r="W74" s="181"/>
      <c r="X74" s="181"/>
      <c r="Y74" s="181"/>
      <c r="Z74" s="181"/>
      <c r="AA74" s="181"/>
      <c r="AB74" s="181"/>
      <c r="AC74" s="181"/>
      <c r="AD74" s="181"/>
      <c r="AE74" s="181"/>
    </row>
    <row r="75" spans="1:31" ht="17" thickBot="1">
      <c r="A75" s="3" t="s">
        <v>98</v>
      </c>
      <c r="B75" s="183" t="s">
        <v>101</v>
      </c>
      <c r="C75" s="43">
        <v>5</v>
      </c>
      <c r="D75" s="184">
        <v>0.2</v>
      </c>
      <c r="E75" s="185">
        <v>0</v>
      </c>
      <c r="F75" s="46">
        <v>0</v>
      </c>
      <c r="G75" s="47">
        <v>0</v>
      </c>
      <c r="H75" s="48">
        <v>0</v>
      </c>
      <c r="I75" s="48">
        <v>1</v>
      </c>
      <c r="J75" s="48">
        <v>1</v>
      </c>
      <c r="K75" s="48">
        <v>1</v>
      </c>
      <c r="L75" s="48">
        <v>0</v>
      </c>
      <c r="M75" s="48">
        <v>1</v>
      </c>
      <c r="N75" s="48">
        <v>0</v>
      </c>
      <c r="O75" s="49">
        <v>1</v>
      </c>
      <c r="P75" s="50">
        <v>0</v>
      </c>
      <c r="Q75" s="51" t="s">
        <v>63</v>
      </c>
      <c r="R75" s="182"/>
      <c r="S75" s="16"/>
      <c r="T75" s="221">
        <f>SUM(C73:C75)</f>
        <v>1185</v>
      </c>
      <c r="U75" s="181"/>
      <c r="V75" s="181"/>
      <c r="W75" s="181"/>
      <c r="X75" s="181"/>
      <c r="Y75" s="181"/>
      <c r="Z75" s="181"/>
      <c r="AA75" s="181"/>
      <c r="AB75" s="181"/>
      <c r="AC75" s="181"/>
      <c r="AD75" s="181"/>
      <c r="AE75" s="181"/>
    </row>
    <row r="76" spans="1:31" ht="16" customHeight="1">
      <c r="B76" s="215"/>
      <c r="C76" s="215"/>
      <c r="D76" s="215"/>
      <c r="E76" s="215"/>
      <c r="F76" s="215"/>
      <c r="G76" s="215"/>
      <c r="H76" s="215"/>
      <c r="I76" s="215"/>
      <c r="J76" s="215"/>
      <c r="K76" s="215"/>
      <c r="L76" s="215"/>
      <c r="M76" s="215"/>
      <c r="N76" s="215"/>
      <c r="O76" s="215"/>
      <c r="P76" s="215"/>
      <c r="Q76" s="215"/>
      <c r="R76" s="215"/>
      <c r="S76" s="215"/>
      <c r="T76" s="186"/>
      <c r="U76" s="186"/>
      <c r="V76" s="186"/>
      <c r="W76" s="186"/>
      <c r="X76" s="186"/>
      <c r="Y76" s="186"/>
      <c r="Z76" s="186"/>
      <c r="AA76" s="186"/>
      <c r="AB76" s="186"/>
      <c r="AC76" s="186"/>
      <c r="AD76" s="186"/>
      <c r="AE76" s="186"/>
    </row>
    <row r="77" spans="1:31" ht="18" customHeight="1">
      <c r="B77" s="187"/>
      <c r="C77" s="188"/>
      <c r="D77" s="188"/>
      <c r="E77" s="188"/>
      <c r="F77" s="188"/>
      <c r="G77" s="188"/>
      <c r="H77" s="188"/>
      <c r="I77" s="188"/>
      <c r="J77" s="188"/>
      <c r="K77" s="188"/>
      <c r="L77" s="188"/>
      <c r="M77" s="188"/>
      <c r="N77" s="188"/>
      <c r="O77" s="188"/>
      <c r="P77" s="188"/>
      <c r="Q77" s="188"/>
      <c r="R77" s="189"/>
      <c r="S77" s="189"/>
      <c r="T77" s="189"/>
      <c r="U77" s="189"/>
      <c r="V77" s="189"/>
      <c r="W77" s="191"/>
      <c r="X77" s="189"/>
      <c r="Y77" s="189"/>
      <c r="Z77" s="192"/>
      <c r="AA77" s="193"/>
      <c r="AB77" s="194"/>
      <c r="AC77" s="195"/>
      <c r="AD77" s="193"/>
      <c r="AE77" s="189"/>
    </row>
    <row r="78" spans="1:31">
      <c r="B78" s="196"/>
      <c r="C78" s="195"/>
      <c r="D78" s="197"/>
      <c r="E78" s="198"/>
      <c r="F78" s="198"/>
      <c r="G78" s="198"/>
      <c r="H78" s="198"/>
      <c r="I78" s="198"/>
      <c r="J78" s="198"/>
      <c r="K78" s="198"/>
      <c r="L78" s="198"/>
      <c r="M78" s="198"/>
      <c r="N78" s="198"/>
      <c r="O78" s="198"/>
      <c r="P78" s="198"/>
      <c r="Q78" s="195"/>
      <c r="R78" s="197"/>
      <c r="S78" s="197"/>
      <c r="T78" s="197"/>
      <c r="U78" s="197"/>
      <c r="V78" s="197"/>
      <c r="W78" s="199"/>
      <c r="X78" s="197"/>
      <c r="Y78" s="197"/>
      <c r="Z78" s="192"/>
      <c r="AA78" s="193"/>
      <c r="AB78" s="194"/>
      <c r="AC78" s="195"/>
      <c r="AD78" s="193" t="s">
        <v>102</v>
      </c>
      <c r="AE78" s="195" t="s">
        <v>102</v>
      </c>
    </row>
    <row r="79" spans="1:31">
      <c r="B79" s="196"/>
      <c r="C79" s="195"/>
      <c r="D79" s="197"/>
      <c r="E79" s="198"/>
      <c r="F79" s="198"/>
      <c r="G79" s="198"/>
      <c r="H79" s="198"/>
      <c r="I79" s="198"/>
      <c r="J79" s="198"/>
      <c r="K79" s="198"/>
      <c r="L79" s="198"/>
      <c r="M79" s="198"/>
      <c r="N79" s="198"/>
      <c r="O79" s="198"/>
      <c r="P79" s="198"/>
      <c r="Q79" s="195"/>
      <c r="R79" s="197"/>
      <c r="S79" s="197"/>
      <c r="T79" s="197"/>
      <c r="U79" s="197"/>
      <c r="V79" s="197"/>
      <c r="W79" s="199"/>
      <c r="X79" s="197"/>
      <c r="Y79" s="197"/>
      <c r="Z79" s="192"/>
      <c r="AA79" s="193"/>
      <c r="AB79" s="194"/>
      <c r="AC79" s="195"/>
      <c r="AD79" s="193"/>
      <c r="AE79" s="195"/>
    </row>
    <row r="80" spans="1:31" ht="18" customHeight="1">
      <c r="B80" s="216"/>
      <c r="C80" s="216"/>
      <c r="D80" s="216"/>
      <c r="E80" s="216"/>
      <c r="F80" s="216"/>
      <c r="G80" s="216"/>
      <c r="H80" s="216"/>
      <c r="I80" s="216"/>
      <c r="J80" s="216"/>
      <c r="K80" s="216"/>
      <c r="L80" s="216"/>
      <c r="M80" s="216"/>
      <c r="N80" s="216"/>
      <c r="O80" s="216"/>
      <c r="P80" s="216"/>
      <c r="Q80" s="216"/>
      <c r="R80" s="216"/>
      <c r="S80" s="216"/>
      <c r="T80" s="216"/>
      <c r="U80" s="216"/>
      <c r="V80" s="216"/>
      <c r="W80" s="216"/>
      <c r="X80" s="216"/>
      <c r="Y80" s="216"/>
      <c r="Z80" s="216"/>
      <c r="AA80" s="216"/>
      <c r="AB80" s="216"/>
      <c r="AC80" s="216"/>
      <c r="AD80" s="216"/>
      <c r="AE80" s="190" t="s">
        <v>102</v>
      </c>
    </row>
    <row r="81" spans="2:31" ht="18" customHeight="1">
      <c r="B81" s="216"/>
      <c r="C81" s="216"/>
      <c r="D81" s="216"/>
      <c r="E81" s="216"/>
      <c r="F81" s="216"/>
      <c r="G81" s="216"/>
      <c r="H81" s="216"/>
      <c r="I81" s="216"/>
      <c r="J81" s="216"/>
      <c r="K81" s="216"/>
      <c r="L81" s="216"/>
      <c r="M81" s="216"/>
      <c r="N81" s="216"/>
      <c r="O81" s="216"/>
      <c r="P81" s="216"/>
      <c r="Q81" s="216"/>
      <c r="R81" s="216"/>
      <c r="S81" s="216"/>
      <c r="T81" s="216"/>
      <c r="U81" s="216"/>
      <c r="V81" s="216"/>
      <c r="W81" s="216"/>
      <c r="X81" s="188"/>
      <c r="Y81" s="200"/>
      <c r="Z81" s="200"/>
      <c r="AA81" s="200"/>
      <c r="AB81" s="200"/>
      <c r="AC81" s="200"/>
      <c r="AD81" s="200"/>
      <c r="AE81" s="190"/>
    </row>
    <row r="82" spans="2:31" ht="18" customHeight="1">
      <c r="B82" s="216"/>
      <c r="C82" s="216"/>
      <c r="D82" s="216"/>
      <c r="E82" s="216"/>
      <c r="F82" s="216"/>
      <c r="G82" s="216"/>
      <c r="H82" s="216"/>
      <c r="I82" s="216"/>
      <c r="J82" s="216"/>
      <c r="K82" s="216"/>
      <c r="L82" s="216"/>
      <c r="M82" s="216"/>
      <c r="N82" s="216"/>
      <c r="O82" s="216"/>
      <c r="P82" s="216"/>
      <c r="Q82" s="216"/>
      <c r="R82" s="200"/>
      <c r="S82" s="200"/>
      <c r="T82" s="200"/>
      <c r="U82" s="200"/>
      <c r="V82" s="200"/>
      <c r="W82" s="200"/>
      <c r="X82" s="200"/>
      <c r="Y82" s="200"/>
      <c r="Z82" s="200"/>
      <c r="AA82" s="200"/>
      <c r="AB82" s="200"/>
      <c r="AC82" s="200"/>
      <c r="AD82" s="200"/>
      <c r="AE82" s="190"/>
    </row>
    <row r="83" spans="2:31" ht="18" customHeight="1">
      <c r="B83" s="216"/>
      <c r="C83" s="217"/>
      <c r="D83" s="217"/>
      <c r="E83" s="217"/>
      <c r="F83" s="217"/>
      <c r="G83" s="217"/>
      <c r="H83" s="217"/>
      <c r="I83" s="217"/>
      <c r="J83" s="217"/>
      <c r="K83" s="217"/>
      <c r="L83" s="217"/>
      <c r="M83" s="217"/>
      <c r="N83" s="217"/>
      <c r="O83" s="217"/>
      <c r="P83" s="217"/>
      <c r="Q83" s="217"/>
      <c r="R83" s="200"/>
      <c r="S83" s="200"/>
      <c r="T83" s="200"/>
      <c r="U83" s="200"/>
      <c r="V83" s="200"/>
      <c r="W83" s="200"/>
      <c r="X83" s="200"/>
      <c r="Y83" s="200"/>
      <c r="Z83" s="200"/>
      <c r="AA83" s="200"/>
      <c r="AB83" s="200"/>
      <c r="AC83" s="200"/>
      <c r="AD83" s="188"/>
      <c r="AE83" s="190"/>
    </row>
    <row r="84" spans="2:31" ht="18">
      <c r="B84" s="201"/>
      <c r="C84" s="195"/>
      <c r="D84" s="195"/>
      <c r="E84" s="195"/>
      <c r="F84" s="195"/>
      <c r="G84" s="195"/>
      <c r="H84" s="195"/>
      <c r="I84" s="195"/>
      <c r="J84" s="195"/>
      <c r="K84" s="195"/>
      <c r="L84" s="195"/>
      <c r="M84" s="195"/>
      <c r="N84" s="195"/>
      <c r="O84" s="195"/>
      <c r="P84" s="195"/>
      <c r="Q84" s="195"/>
      <c r="R84" s="200"/>
      <c r="S84" s="200"/>
      <c r="T84" s="200"/>
      <c r="U84" s="200"/>
      <c r="V84" s="200"/>
      <c r="W84" s="200"/>
      <c r="X84" s="200"/>
      <c r="Y84" s="200"/>
      <c r="Z84" s="200"/>
      <c r="AA84" s="200"/>
      <c r="AB84" s="200"/>
      <c r="AC84" s="200"/>
      <c r="AD84" s="188"/>
      <c r="AE84" s="190"/>
    </row>
    <row r="85" spans="2:31">
      <c r="B85" s="201"/>
      <c r="C85" s="202"/>
      <c r="D85" s="202"/>
      <c r="E85" s="203"/>
      <c r="F85" s="203"/>
      <c r="G85" s="203"/>
      <c r="H85" s="203"/>
      <c r="I85" s="203"/>
      <c r="J85" s="203"/>
      <c r="K85" s="203"/>
      <c r="L85" s="203"/>
      <c r="M85" s="203"/>
      <c r="N85" s="203"/>
      <c r="O85" s="203"/>
      <c r="P85" s="203"/>
      <c r="Q85" s="202"/>
      <c r="R85" s="202"/>
      <c r="S85" s="202"/>
      <c r="T85" s="202"/>
      <c r="U85" s="202"/>
      <c r="V85" s="202"/>
      <c r="W85" s="202"/>
      <c r="X85" s="202"/>
      <c r="Y85" s="202"/>
      <c r="Z85" s="202"/>
      <c r="AA85" s="202"/>
      <c r="AB85" s="202" t="s">
        <v>102</v>
      </c>
      <c r="AC85" s="202"/>
      <c r="AD85" s="202"/>
      <c r="AE85" s="202"/>
    </row>
    <row r="86" spans="2:31">
      <c r="B86" s="204"/>
      <c r="C86" s="202"/>
      <c r="D86" s="202"/>
      <c r="E86" s="203"/>
      <c r="F86" s="203"/>
      <c r="G86" s="203"/>
      <c r="H86" s="203"/>
      <c r="I86" s="203"/>
      <c r="J86" s="203"/>
      <c r="K86" s="203"/>
      <c r="L86" s="203"/>
      <c r="M86" s="203"/>
      <c r="N86" s="203"/>
      <c r="O86" s="203"/>
      <c r="P86" s="203"/>
      <c r="Q86" s="202"/>
      <c r="R86" s="202"/>
      <c r="S86" s="202"/>
      <c r="T86" s="202"/>
      <c r="U86" s="202"/>
      <c r="V86" s="202"/>
      <c r="W86" s="202"/>
      <c r="X86" s="202"/>
      <c r="Y86" s="202"/>
      <c r="Z86" s="202"/>
      <c r="AA86" s="202"/>
      <c r="AB86" s="202"/>
      <c r="AC86" s="202"/>
      <c r="AD86" s="202"/>
      <c r="AE86" s="202"/>
    </row>
    <row r="87" spans="2:31" ht="16" customHeight="1">
      <c r="B87" s="214"/>
      <c r="C87" s="214"/>
      <c r="D87" s="214"/>
      <c r="E87" s="214"/>
      <c r="F87" s="214"/>
      <c r="G87" s="214"/>
      <c r="H87" s="214"/>
      <c r="I87" s="214"/>
      <c r="J87" s="214"/>
      <c r="K87" s="214"/>
      <c r="L87" s="214"/>
      <c r="M87" s="214"/>
      <c r="N87" s="214"/>
      <c r="O87" s="214"/>
      <c r="P87" s="214"/>
      <c r="Q87" s="214"/>
      <c r="R87" s="214"/>
      <c r="S87" s="214"/>
      <c r="T87" s="214"/>
      <c r="U87" s="214"/>
      <c r="V87" s="214"/>
      <c r="W87" s="214"/>
      <c r="X87" s="214"/>
      <c r="Y87" s="214"/>
      <c r="Z87" s="214"/>
      <c r="AA87" s="214"/>
      <c r="AB87" s="214"/>
      <c r="AC87" s="214"/>
      <c r="AD87" s="214"/>
      <c r="AE87" s="214"/>
    </row>
    <row r="88" spans="2:31" ht="16" customHeight="1">
      <c r="B88" s="214"/>
      <c r="C88" s="214"/>
      <c r="D88" s="214"/>
      <c r="E88" s="214"/>
      <c r="F88" s="214"/>
      <c r="G88" s="214"/>
      <c r="H88" s="214"/>
      <c r="I88" s="214"/>
      <c r="J88" s="214"/>
      <c r="K88" s="214"/>
      <c r="L88" s="214"/>
      <c r="M88" s="214"/>
      <c r="N88" s="214"/>
      <c r="O88" s="214"/>
      <c r="P88" s="214"/>
      <c r="Q88" s="214"/>
      <c r="R88" s="214"/>
      <c r="S88" s="214"/>
      <c r="T88" s="214"/>
      <c r="U88" s="214"/>
      <c r="V88" s="214"/>
      <c r="W88" s="214"/>
      <c r="X88" s="214"/>
      <c r="Y88" s="214"/>
      <c r="Z88" s="214"/>
      <c r="AA88" s="214"/>
      <c r="AB88" s="214"/>
      <c r="AC88" s="214"/>
      <c r="AD88" s="214"/>
      <c r="AE88" s="214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A68EF-75FD-C54C-84BF-68A92E516DED}">
  <dimension ref="A1:AE70"/>
  <sheetViews>
    <sheetView zoomScale="87" zoomScaleNormal="130" workbookViewId="0">
      <selection activeCell="A14" sqref="A14:XFD14"/>
    </sheetView>
  </sheetViews>
  <sheetFormatPr baseColWidth="10" defaultRowHeight="16"/>
  <sheetData>
    <row r="1" spans="1:31" ht="129" thickBot="1">
      <c r="A1" s="218" t="s">
        <v>103</v>
      </c>
      <c r="B1" s="205" t="s">
        <v>0</v>
      </c>
      <c r="C1" s="206" t="s">
        <v>1</v>
      </c>
      <c r="D1" s="207" t="s">
        <v>2</v>
      </c>
      <c r="E1" s="208" t="s">
        <v>3</v>
      </c>
      <c r="F1" s="209" t="s">
        <v>4</v>
      </c>
      <c r="G1" s="210" t="s">
        <v>5</v>
      </c>
      <c r="H1" s="210" t="s">
        <v>6</v>
      </c>
      <c r="I1" s="209" t="s">
        <v>7</v>
      </c>
      <c r="J1" s="211" t="s">
        <v>8</v>
      </c>
      <c r="K1" s="211" t="s">
        <v>9</v>
      </c>
      <c r="L1" s="211" t="s">
        <v>10</v>
      </c>
      <c r="M1" s="211" t="s">
        <v>11</v>
      </c>
      <c r="N1" s="211" t="s">
        <v>12</v>
      </c>
      <c r="O1" s="212" t="s">
        <v>13</v>
      </c>
      <c r="P1" s="211" t="s">
        <v>14</v>
      </c>
      <c r="Q1" s="213" t="s">
        <v>15</v>
      </c>
      <c r="R1" s="2"/>
      <c r="S1" s="1"/>
      <c r="T1" s="220" t="s">
        <v>104</v>
      </c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 ht="57" thickBot="1">
      <c r="A2" s="3" t="s">
        <v>16</v>
      </c>
      <c r="B2" s="4" t="s">
        <v>17</v>
      </c>
      <c r="C2" s="5">
        <v>8</v>
      </c>
      <c r="D2" s="6">
        <v>0.3</v>
      </c>
      <c r="E2" s="7">
        <v>0</v>
      </c>
      <c r="F2" s="8">
        <v>2</v>
      </c>
      <c r="G2" s="9">
        <v>0</v>
      </c>
      <c r="H2" s="10">
        <v>1</v>
      </c>
      <c r="I2" s="10">
        <v>0</v>
      </c>
      <c r="J2" s="10">
        <v>1</v>
      </c>
      <c r="K2" s="10">
        <v>0</v>
      </c>
      <c r="L2" s="10">
        <v>1</v>
      </c>
      <c r="M2" s="10">
        <v>1</v>
      </c>
      <c r="N2" s="10">
        <v>1</v>
      </c>
      <c r="O2" s="11">
        <v>1</v>
      </c>
      <c r="P2" s="12">
        <v>0</v>
      </c>
      <c r="Q2" s="13">
        <v>1</v>
      </c>
      <c r="R2" s="15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</row>
    <row r="3" spans="1:31" ht="57" thickBot="1">
      <c r="A3" s="3" t="s">
        <v>16</v>
      </c>
      <c r="B3" s="17" t="s">
        <v>18</v>
      </c>
      <c r="C3" s="18">
        <v>443</v>
      </c>
      <c r="D3" s="19">
        <v>14.9</v>
      </c>
      <c r="E3" s="20">
        <v>48</v>
      </c>
      <c r="F3" s="21">
        <v>37</v>
      </c>
      <c r="G3" s="22">
        <v>53</v>
      </c>
      <c r="H3" s="23">
        <v>46</v>
      </c>
      <c r="I3" s="23">
        <v>28</v>
      </c>
      <c r="J3" s="23">
        <v>28</v>
      </c>
      <c r="K3" s="23">
        <v>43</v>
      </c>
      <c r="L3" s="23">
        <v>33</v>
      </c>
      <c r="M3" s="23">
        <v>28</v>
      </c>
      <c r="N3" s="23">
        <v>41</v>
      </c>
      <c r="O3" s="24">
        <v>29</v>
      </c>
      <c r="P3" s="25">
        <v>29</v>
      </c>
      <c r="Q3" s="26">
        <v>37</v>
      </c>
      <c r="R3" s="15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</row>
    <row r="4" spans="1:31" ht="57" thickBot="1">
      <c r="A4" s="3" t="s">
        <v>16</v>
      </c>
      <c r="B4" s="17" t="s">
        <v>19</v>
      </c>
      <c r="C4" s="18">
        <v>13945</v>
      </c>
      <c r="D4" s="19">
        <v>470.2</v>
      </c>
      <c r="E4" s="20">
        <v>1411</v>
      </c>
      <c r="F4" s="21">
        <v>1239</v>
      </c>
      <c r="G4" s="22">
        <v>1153</v>
      </c>
      <c r="H4" s="23">
        <v>1204</v>
      </c>
      <c r="I4" s="23">
        <v>1203</v>
      </c>
      <c r="J4" s="23">
        <v>1035</v>
      </c>
      <c r="K4" s="23">
        <v>1153</v>
      </c>
      <c r="L4" s="23">
        <v>1125</v>
      </c>
      <c r="M4" s="23">
        <v>1113</v>
      </c>
      <c r="N4" s="23">
        <v>1241</v>
      </c>
      <c r="O4" s="24">
        <v>1134</v>
      </c>
      <c r="P4" s="25">
        <v>934</v>
      </c>
      <c r="Q4" s="26">
        <v>967</v>
      </c>
      <c r="R4" s="15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</row>
    <row r="5" spans="1:31" ht="57" thickBot="1">
      <c r="A5" s="3" t="s">
        <v>16</v>
      </c>
      <c r="B5" s="17" t="s">
        <v>21</v>
      </c>
      <c r="C5" s="18">
        <v>7068</v>
      </c>
      <c r="D5" s="19">
        <v>238.3</v>
      </c>
      <c r="E5" s="20">
        <v>669</v>
      </c>
      <c r="F5" s="21">
        <v>556</v>
      </c>
      <c r="G5" s="22">
        <v>495</v>
      </c>
      <c r="H5" s="23">
        <v>542</v>
      </c>
      <c r="I5" s="23">
        <v>549</v>
      </c>
      <c r="J5" s="23">
        <v>539</v>
      </c>
      <c r="K5" s="23">
        <v>697</v>
      </c>
      <c r="L5" s="23">
        <v>667</v>
      </c>
      <c r="M5" s="23">
        <v>632</v>
      </c>
      <c r="N5" s="23">
        <v>696</v>
      </c>
      <c r="O5" s="24">
        <v>574</v>
      </c>
      <c r="P5" s="25">
        <v>452</v>
      </c>
      <c r="Q5" s="26">
        <v>433</v>
      </c>
      <c r="R5" s="15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</row>
    <row r="6" spans="1:31" ht="57" thickBot="1">
      <c r="A6" s="3" t="s">
        <v>16</v>
      </c>
      <c r="B6" s="17" t="s">
        <v>22</v>
      </c>
      <c r="C6" s="29">
        <v>10</v>
      </c>
      <c r="D6" s="19">
        <v>0.3</v>
      </c>
      <c r="E6" s="20">
        <v>0</v>
      </c>
      <c r="F6" s="21">
        <v>1</v>
      </c>
      <c r="G6" s="22">
        <v>3</v>
      </c>
      <c r="H6" s="23">
        <v>1</v>
      </c>
      <c r="I6" s="23">
        <v>0</v>
      </c>
      <c r="J6" s="23">
        <v>0</v>
      </c>
      <c r="K6" s="23">
        <v>1</v>
      </c>
      <c r="L6" s="23">
        <v>1</v>
      </c>
      <c r="M6" s="23">
        <v>1</v>
      </c>
      <c r="N6" s="23">
        <v>1</v>
      </c>
      <c r="O6" s="24">
        <v>1</v>
      </c>
      <c r="P6" s="25">
        <v>0</v>
      </c>
      <c r="Q6" s="26">
        <v>1</v>
      </c>
      <c r="R6" s="15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</row>
    <row r="7" spans="1:31" ht="57" thickBot="1">
      <c r="A7" s="3" t="s">
        <v>16</v>
      </c>
      <c r="B7" s="17" t="s">
        <v>23</v>
      </c>
      <c r="C7" s="18">
        <v>525</v>
      </c>
      <c r="D7" s="19">
        <v>17.7</v>
      </c>
      <c r="E7" s="20">
        <v>49</v>
      </c>
      <c r="F7" s="21">
        <v>53</v>
      </c>
      <c r="G7" s="22">
        <v>58</v>
      </c>
      <c r="H7" s="23">
        <v>44</v>
      </c>
      <c r="I7" s="23">
        <v>33</v>
      </c>
      <c r="J7" s="23">
        <v>48</v>
      </c>
      <c r="K7" s="23">
        <v>41</v>
      </c>
      <c r="L7" s="23">
        <v>40</v>
      </c>
      <c r="M7" s="23">
        <v>43</v>
      </c>
      <c r="N7" s="23">
        <v>42</v>
      </c>
      <c r="O7" s="24">
        <v>46</v>
      </c>
      <c r="P7" s="25">
        <v>28</v>
      </c>
      <c r="Q7" s="26">
        <v>29</v>
      </c>
      <c r="R7" s="15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</row>
    <row r="8" spans="1:31" ht="57" thickBot="1">
      <c r="A8" s="3" t="s">
        <v>16</v>
      </c>
      <c r="B8" s="30" t="s">
        <v>127</v>
      </c>
      <c r="C8" s="18">
        <v>438</v>
      </c>
      <c r="D8" s="19">
        <v>14.8</v>
      </c>
      <c r="E8" s="20">
        <v>26</v>
      </c>
      <c r="F8" s="21">
        <v>25</v>
      </c>
      <c r="G8" s="22">
        <v>33</v>
      </c>
      <c r="H8" s="23">
        <v>36</v>
      </c>
      <c r="I8" s="23">
        <v>47</v>
      </c>
      <c r="J8" s="23">
        <v>44</v>
      </c>
      <c r="K8" s="23">
        <v>40</v>
      </c>
      <c r="L8" s="23">
        <v>31</v>
      </c>
      <c r="M8" s="23">
        <v>42</v>
      </c>
      <c r="N8" s="23">
        <v>47</v>
      </c>
      <c r="O8" s="24">
        <v>33</v>
      </c>
      <c r="P8" s="25">
        <v>34</v>
      </c>
      <c r="Q8" s="26">
        <v>29</v>
      </c>
      <c r="R8" s="15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</row>
    <row r="9" spans="1:31" ht="57" thickBot="1">
      <c r="A9" s="3" t="s">
        <v>16</v>
      </c>
      <c r="B9" s="31" t="s">
        <v>25</v>
      </c>
      <c r="C9" s="32">
        <v>470</v>
      </c>
      <c r="D9" s="33">
        <v>15.8</v>
      </c>
      <c r="E9" s="34">
        <v>46</v>
      </c>
      <c r="F9" s="35">
        <v>45</v>
      </c>
      <c r="G9" s="36">
        <v>52</v>
      </c>
      <c r="H9" s="37">
        <v>41</v>
      </c>
      <c r="I9" s="37">
        <v>52</v>
      </c>
      <c r="J9" s="37">
        <v>41</v>
      </c>
      <c r="K9" s="37">
        <v>30</v>
      </c>
      <c r="L9" s="37">
        <v>47</v>
      </c>
      <c r="M9" s="37">
        <v>35</v>
      </c>
      <c r="N9" s="37">
        <v>40</v>
      </c>
      <c r="O9" s="38">
        <v>31</v>
      </c>
      <c r="P9" s="39">
        <v>10</v>
      </c>
      <c r="Q9" s="40">
        <v>34</v>
      </c>
      <c r="R9" s="15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</row>
    <row r="10" spans="1:31" ht="57" thickBot="1">
      <c r="A10" s="3" t="s">
        <v>16</v>
      </c>
      <c r="B10" s="30" t="s">
        <v>26</v>
      </c>
      <c r="C10" s="18">
        <v>2</v>
      </c>
      <c r="D10" s="19" t="s">
        <v>27</v>
      </c>
      <c r="E10" s="20">
        <v>0</v>
      </c>
      <c r="F10" s="21">
        <v>0</v>
      </c>
      <c r="G10" s="22">
        <v>1</v>
      </c>
      <c r="H10" s="23">
        <v>0</v>
      </c>
      <c r="I10" s="23">
        <v>1</v>
      </c>
      <c r="J10" s="23">
        <v>0</v>
      </c>
      <c r="K10" s="23">
        <v>0</v>
      </c>
      <c r="L10" s="23">
        <v>0</v>
      </c>
      <c r="M10" s="23">
        <v>0</v>
      </c>
      <c r="N10" s="23">
        <v>0</v>
      </c>
      <c r="O10" s="24">
        <v>0</v>
      </c>
      <c r="P10" s="25">
        <v>0</v>
      </c>
      <c r="Q10" s="26">
        <v>0</v>
      </c>
      <c r="R10" s="15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</row>
    <row r="11" spans="1:31" ht="57" thickBot="1">
      <c r="A11" s="3" t="s">
        <v>16</v>
      </c>
      <c r="B11" s="30" t="s">
        <v>28</v>
      </c>
      <c r="C11" s="41">
        <v>4</v>
      </c>
      <c r="D11" s="19">
        <v>0.1</v>
      </c>
      <c r="E11" s="20">
        <v>0</v>
      </c>
      <c r="F11" s="21">
        <v>0</v>
      </c>
      <c r="G11" s="22">
        <v>2</v>
      </c>
      <c r="H11" s="23">
        <v>0</v>
      </c>
      <c r="I11" s="23">
        <v>0</v>
      </c>
      <c r="J11" s="23">
        <v>2</v>
      </c>
      <c r="K11" s="23">
        <v>0</v>
      </c>
      <c r="L11" s="23">
        <v>0</v>
      </c>
      <c r="M11" s="23">
        <v>0</v>
      </c>
      <c r="N11" s="23">
        <v>0</v>
      </c>
      <c r="O11" s="24">
        <v>0</v>
      </c>
      <c r="P11" s="25">
        <v>0</v>
      </c>
      <c r="Q11" s="26">
        <v>0</v>
      </c>
      <c r="R11" s="15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</row>
    <row r="12" spans="1:31" ht="57" thickBot="1">
      <c r="A12" s="3" t="s">
        <v>16</v>
      </c>
      <c r="B12" s="30" t="s">
        <v>29</v>
      </c>
      <c r="C12" s="29">
        <v>1162</v>
      </c>
      <c r="D12" s="19">
        <v>39.200000000000003</v>
      </c>
      <c r="E12" s="20">
        <v>119</v>
      </c>
      <c r="F12" s="21">
        <v>113</v>
      </c>
      <c r="G12" s="22">
        <v>108</v>
      </c>
      <c r="H12" s="23">
        <v>104</v>
      </c>
      <c r="I12" s="23">
        <v>117</v>
      </c>
      <c r="J12" s="23">
        <v>113</v>
      </c>
      <c r="K12" s="23">
        <v>90</v>
      </c>
      <c r="L12" s="23">
        <v>81</v>
      </c>
      <c r="M12" s="23">
        <v>90</v>
      </c>
      <c r="N12" s="23">
        <v>82</v>
      </c>
      <c r="O12" s="24">
        <v>82</v>
      </c>
      <c r="P12" s="25">
        <v>63</v>
      </c>
      <c r="Q12" s="26">
        <v>113</v>
      </c>
      <c r="R12" s="15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</row>
    <row r="13" spans="1:31" ht="57" thickBot="1">
      <c r="A13" s="3" t="s">
        <v>16</v>
      </c>
      <c r="B13" s="42" t="s">
        <v>128</v>
      </c>
      <c r="C13" s="43">
        <v>690</v>
      </c>
      <c r="D13" s="44">
        <v>23.3</v>
      </c>
      <c r="E13" s="45">
        <v>57</v>
      </c>
      <c r="F13" s="46">
        <v>72</v>
      </c>
      <c r="G13" s="47">
        <v>74</v>
      </c>
      <c r="H13" s="48">
        <v>61</v>
      </c>
      <c r="I13" s="48">
        <v>62</v>
      </c>
      <c r="J13" s="48">
        <v>57</v>
      </c>
      <c r="K13" s="48">
        <v>50</v>
      </c>
      <c r="L13" s="48">
        <v>64</v>
      </c>
      <c r="M13" s="48">
        <v>57</v>
      </c>
      <c r="N13" s="48">
        <v>51</v>
      </c>
      <c r="O13" s="49">
        <v>42</v>
      </c>
      <c r="P13" s="50">
        <v>43</v>
      </c>
      <c r="Q13" s="51">
        <v>48</v>
      </c>
      <c r="R13" s="15"/>
      <c r="S13" s="16"/>
      <c r="T13" s="219">
        <f>SUM(C2:C13)</f>
        <v>24765</v>
      </c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</row>
    <row r="14" spans="1:31" ht="43" thickBot="1">
      <c r="A14" s="3" t="s">
        <v>31</v>
      </c>
      <c r="B14" s="52" t="s">
        <v>32</v>
      </c>
      <c r="C14" s="53">
        <v>96</v>
      </c>
      <c r="D14" s="54">
        <v>3.2</v>
      </c>
      <c r="E14" s="55">
        <v>12</v>
      </c>
      <c r="F14" s="56">
        <v>13</v>
      </c>
      <c r="G14" s="57">
        <v>8</v>
      </c>
      <c r="H14" s="58">
        <v>6</v>
      </c>
      <c r="I14" s="58">
        <v>8</v>
      </c>
      <c r="J14" s="58">
        <v>12</v>
      </c>
      <c r="K14" s="58">
        <v>6</v>
      </c>
      <c r="L14" s="58">
        <v>4</v>
      </c>
      <c r="M14" s="58">
        <v>7</v>
      </c>
      <c r="N14" s="58">
        <v>4</v>
      </c>
      <c r="O14" s="59">
        <v>8</v>
      </c>
      <c r="P14" s="60">
        <v>8</v>
      </c>
      <c r="Q14" s="61">
        <v>12</v>
      </c>
      <c r="R14" s="15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</row>
    <row r="15" spans="1:31" ht="43" thickBot="1">
      <c r="A15" s="3" t="s">
        <v>31</v>
      </c>
      <c r="B15" s="66" t="s">
        <v>34</v>
      </c>
      <c r="C15" s="62">
        <v>507</v>
      </c>
      <c r="D15" s="67">
        <v>17.100000000000001</v>
      </c>
      <c r="E15" s="64">
        <v>32</v>
      </c>
      <c r="F15" s="21">
        <v>30</v>
      </c>
      <c r="G15" s="22">
        <v>27</v>
      </c>
      <c r="H15" s="23">
        <v>20</v>
      </c>
      <c r="I15" s="23">
        <v>48</v>
      </c>
      <c r="J15" s="23">
        <v>36</v>
      </c>
      <c r="K15" s="23">
        <v>59</v>
      </c>
      <c r="L15" s="23">
        <v>68</v>
      </c>
      <c r="M15" s="23">
        <v>57</v>
      </c>
      <c r="N15" s="23">
        <v>57</v>
      </c>
      <c r="O15" s="24">
        <v>41</v>
      </c>
      <c r="P15" s="25">
        <v>32</v>
      </c>
      <c r="Q15" s="26">
        <v>25</v>
      </c>
      <c r="R15" s="15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</row>
    <row r="16" spans="1:31" ht="43" thickBot="1">
      <c r="A16" s="3" t="s">
        <v>31</v>
      </c>
      <c r="B16" s="30" t="s">
        <v>36</v>
      </c>
      <c r="C16" s="62">
        <v>170</v>
      </c>
      <c r="D16" s="67">
        <v>5.7</v>
      </c>
      <c r="E16" s="64">
        <v>11</v>
      </c>
      <c r="F16" s="21">
        <v>17</v>
      </c>
      <c r="G16" s="22">
        <v>7</v>
      </c>
      <c r="H16" s="23">
        <v>10</v>
      </c>
      <c r="I16" s="23">
        <v>9</v>
      </c>
      <c r="J16" s="23">
        <v>17</v>
      </c>
      <c r="K16" s="23">
        <v>35</v>
      </c>
      <c r="L16" s="23">
        <v>25</v>
      </c>
      <c r="M16" s="23">
        <v>19</v>
      </c>
      <c r="N16" s="23">
        <v>8</v>
      </c>
      <c r="O16" s="24">
        <v>7</v>
      </c>
      <c r="P16" s="25">
        <v>5</v>
      </c>
      <c r="Q16" s="26">
        <v>7</v>
      </c>
      <c r="R16" s="15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</row>
    <row r="17" spans="1:31" ht="43" thickBot="1">
      <c r="A17" s="3" t="s">
        <v>31</v>
      </c>
      <c r="B17" s="30" t="s">
        <v>37</v>
      </c>
      <c r="C17" s="62">
        <v>117</v>
      </c>
      <c r="D17" s="67">
        <v>3.9</v>
      </c>
      <c r="E17" s="64">
        <v>1</v>
      </c>
      <c r="F17" s="21">
        <v>0</v>
      </c>
      <c r="G17" s="22">
        <v>2</v>
      </c>
      <c r="H17" s="23">
        <v>1</v>
      </c>
      <c r="I17" s="23">
        <v>8</v>
      </c>
      <c r="J17" s="23">
        <v>21</v>
      </c>
      <c r="K17" s="23">
        <v>60</v>
      </c>
      <c r="L17" s="23">
        <v>19</v>
      </c>
      <c r="M17" s="23">
        <v>3</v>
      </c>
      <c r="N17" s="23">
        <v>0</v>
      </c>
      <c r="O17" s="24">
        <v>1</v>
      </c>
      <c r="P17" s="25">
        <v>1</v>
      </c>
      <c r="Q17" s="26">
        <v>3</v>
      </c>
      <c r="R17" s="15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</row>
    <row r="18" spans="1:31" ht="43" thickBot="1">
      <c r="A18" s="3" t="s">
        <v>31</v>
      </c>
      <c r="B18" s="30" t="s">
        <v>38</v>
      </c>
      <c r="C18" s="62">
        <v>24</v>
      </c>
      <c r="D18" s="67">
        <v>0.8</v>
      </c>
      <c r="E18" s="64">
        <v>1</v>
      </c>
      <c r="F18" s="21">
        <v>0</v>
      </c>
      <c r="G18" s="22">
        <v>0</v>
      </c>
      <c r="H18" s="23">
        <v>13</v>
      </c>
      <c r="I18" s="23">
        <v>7</v>
      </c>
      <c r="J18" s="23">
        <v>0</v>
      </c>
      <c r="K18" s="23">
        <v>0</v>
      </c>
      <c r="L18" s="23">
        <v>0</v>
      </c>
      <c r="M18" s="23">
        <v>0</v>
      </c>
      <c r="N18" s="23">
        <v>0</v>
      </c>
      <c r="O18" s="24">
        <v>1</v>
      </c>
      <c r="P18" s="25">
        <v>2</v>
      </c>
      <c r="Q18" s="26">
        <v>0</v>
      </c>
      <c r="R18" s="15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</row>
    <row r="19" spans="1:31" ht="43" thickBot="1">
      <c r="A19" s="3" t="s">
        <v>31</v>
      </c>
      <c r="B19" s="30" t="s">
        <v>39</v>
      </c>
      <c r="C19" s="62">
        <v>331</v>
      </c>
      <c r="D19" s="67">
        <v>11.2</v>
      </c>
      <c r="E19" s="64">
        <v>30</v>
      </c>
      <c r="F19" s="21">
        <v>28</v>
      </c>
      <c r="G19" s="22">
        <v>15</v>
      </c>
      <c r="H19" s="23">
        <v>25</v>
      </c>
      <c r="I19" s="23">
        <v>24</v>
      </c>
      <c r="J19" s="23">
        <v>27</v>
      </c>
      <c r="K19" s="23">
        <v>30</v>
      </c>
      <c r="L19" s="23">
        <v>32</v>
      </c>
      <c r="M19" s="23">
        <v>36</v>
      </c>
      <c r="N19" s="23">
        <v>34</v>
      </c>
      <c r="O19" s="24">
        <v>25</v>
      </c>
      <c r="P19" s="25">
        <v>25</v>
      </c>
      <c r="Q19" s="26">
        <v>17</v>
      </c>
      <c r="R19" s="15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</row>
    <row r="20" spans="1:31" ht="43" thickBot="1">
      <c r="A20" s="3" t="s">
        <v>31</v>
      </c>
      <c r="B20" s="30" t="s">
        <v>40</v>
      </c>
      <c r="C20" s="62">
        <v>30</v>
      </c>
      <c r="D20" s="67">
        <v>1</v>
      </c>
      <c r="E20" s="64">
        <v>4</v>
      </c>
      <c r="F20" s="21">
        <v>4</v>
      </c>
      <c r="G20" s="22">
        <v>4</v>
      </c>
      <c r="H20" s="23">
        <v>3</v>
      </c>
      <c r="I20" s="23">
        <v>1</v>
      </c>
      <c r="J20" s="23">
        <v>1</v>
      </c>
      <c r="K20" s="23">
        <v>2</v>
      </c>
      <c r="L20" s="23">
        <v>1</v>
      </c>
      <c r="M20" s="23">
        <v>2</v>
      </c>
      <c r="N20" s="23">
        <v>4</v>
      </c>
      <c r="O20" s="24">
        <v>3</v>
      </c>
      <c r="P20" s="25">
        <v>1</v>
      </c>
      <c r="Q20" s="26">
        <v>2</v>
      </c>
      <c r="R20" s="15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</row>
    <row r="21" spans="1:31" ht="43" thickBot="1">
      <c r="A21" s="3" t="s">
        <v>31</v>
      </c>
      <c r="B21" s="30" t="s">
        <v>41</v>
      </c>
      <c r="C21" s="62">
        <v>34</v>
      </c>
      <c r="D21" s="67">
        <v>1.1000000000000001</v>
      </c>
      <c r="E21" s="64">
        <v>2</v>
      </c>
      <c r="F21" s="21">
        <v>1</v>
      </c>
      <c r="G21" s="22">
        <v>1</v>
      </c>
      <c r="H21" s="23">
        <v>4</v>
      </c>
      <c r="I21" s="23">
        <v>1</v>
      </c>
      <c r="J21" s="23">
        <v>8</v>
      </c>
      <c r="K21" s="23">
        <v>9</v>
      </c>
      <c r="L21" s="23">
        <v>1</v>
      </c>
      <c r="M21" s="23">
        <v>2</v>
      </c>
      <c r="N21" s="23">
        <v>2</v>
      </c>
      <c r="O21" s="24">
        <v>2</v>
      </c>
      <c r="P21" s="25">
        <v>1</v>
      </c>
      <c r="Q21" s="26">
        <v>2</v>
      </c>
      <c r="R21" s="15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</row>
    <row r="22" spans="1:31" ht="43" thickBot="1">
      <c r="A22" s="3" t="s">
        <v>31</v>
      </c>
      <c r="B22" s="30" t="s">
        <v>43</v>
      </c>
      <c r="C22" s="62">
        <v>14</v>
      </c>
      <c r="D22" s="67">
        <v>0.5</v>
      </c>
      <c r="E22" s="64">
        <v>0</v>
      </c>
      <c r="F22" s="21">
        <v>4</v>
      </c>
      <c r="G22" s="22">
        <v>2</v>
      </c>
      <c r="H22" s="23">
        <v>2</v>
      </c>
      <c r="I22" s="23">
        <v>1</v>
      </c>
      <c r="J22" s="23">
        <v>2</v>
      </c>
      <c r="K22" s="23">
        <v>1</v>
      </c>
      <c r="L22" s="23">
        <v>2</v>
      </c>
      <c r="M22" s="23">
        <v>0</v>
      </c>
      <c r="N22" s="23">
        <v>0</v>
      </c>
      <c r="O22" s="24">
        <v>0</v>
      </c>
      <c r="P22" s="25">
        <v>0</v>
      </c>
      <c r="Q22" s="26">
        <v>0</v>
      </c>
      <c r="R22" s="15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</row>
    <row r="23" spans="1:31" ht="43" thickBot="1">
      <c r="A23" s="3" t="s">
        <v>31</v>
      </c>
      <c r="B23" s="30" t="s">
        <v>44</v>
      </c>
      <c r="C23" s="62">
        <v>553</v>
      </c>
      <c r="D23" s="67">
        <v>18.600000000000001</v>
      </c>
      <c r="E23" s="64">
        <v>43</v>
      </c>
      <c r="F23" s="21">
        <v>45</v>
      </c>
      <c r="G23" s="22">
        <v>30</v>
      </c>
      <c r="H23" s="23">
        <v>47</v>
      </c>
      <c r="I23" s="23">
        <v>44</v>
      </c>
      <c r="J23" s="23">
        <v>29</v>
      </c>
      <c r="K23" s="23">
        <v>44</v>
      </c>
      <c r="L23" s="23">
        <v>94</v>
      </c>
      <c r="M23" s="23">
        <v>44</v>
      </c>
      <c r="N23" s="23">
        <v>48</v>
      </c>
      <c r="O23" s="24">
        <v>40</v>
      </c>
      <c r="P23" s="25">
        <v>45</v>
      </c>
      <c r="Q23" s="26">
        <v>25</v>
      </c>
      <c r="R23" s="15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</row>
    <row r="24" spans="1:31" ht="43" thickBot="1">
      <c r="A24" s="3" t="s">
        <v>31</v>
      </c>
      <c r="B24" s="30" t="s">
        <v>45</v>
      </c>
      <c r="C24" s="62">
        <v>113</v>
      </c>
      <c r="D24" s="67">
        <v>3.8</v>
      </c>
      <c r="E24" s="64">
        <v>9</v>
      </c>
      <c r="F24" s="21">
        <v>10</v>
      </c>
      <c r="G24" s="22">
        <v>9</v>
      </c>
      <c r="H24" s="23">
        <v>6</v>
      </c>
      <c r="I24" s="23">
        <v>3</v>
      </c>
      <c r="J24" s="23">
        <v>8</v>
      </c>
      <c r="K24" s="23">
        <v>10</v>
      </c>
      <c r="L24" s="23">
        <v>11</v>
      </c>
      <c r="M24" s="23">
        <v>17</v>
      </c>
      <c r="N24" s="23">
        <v>14</v>
      </c>
      <c r="O24" s="24">
        <v>9</v>
      </c>
      <c r="P24" s="25">
        <v>7</v>
      </c>
      <c r="Q24" s="26">
        <v>9</v>
      </c>
      <c r="R24" s="15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</row>
    <row r="25" spans="1:31" ht="43" thickBot="1">
      <c r="A25" s="3" t="s">
        <v>31</v>
      </c>
      <c r="B25" s="30" t="s">
        <v>46</v>
      </c>
      <c r="C25" s="62">
        <v>1</v>
      </c>
      <c r="D25" s="67" t="s">
        <v>27</v>
      </c>
      <c r="E25" s="64">
        <v>0</v>
      </c>
      <c r="F25" s="21">
        <v>0</v>
      </c>
      <c r="G25" s="22">
        <v>0</v>
      </c>
      <c r="H25" s="23">
        <v>1</v>
      </c>
      <c r="I25" s="23">
        <v>0</v>
      </c>
      <c r="J25" s="23">
        <v>0</v>
      </c>
      <c r="K25" s="23">
        <v>0</v>
      </c>
      <c r="L25" s="23">
        <v>0</v>
      </c>
      <c r="M25" s="23">
        <v>0</v>
      </c>
      <c r="N25" s="23">
        <v>0</v>
      </c>
      <c r="O25" s="24">
        <v>0</v>
      </c>
      <c r="P25" s="25">
        <v>0</v>
      </c>
      <c r="Q25" s="26">
        <v>0</v>
      </c>
      <c r="R25" s="15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</row>
    <row r="26" spans="1:31" ht="43" thickBot="1">
      <c r="A26" s="3" t="s">
        <v>31</v>
      </c>
      <c r="B26" s="30" t="s">
        <v>47</v>
      </c>
      <c r="C26" s="62">
        <v>22</v>
      </c>
      <c r="D26" s="67">
        <v>0.7</v>
      </c>
      <c r="E26" s="64">
        <v>1</v>
      </c>
      <c r="F26" s="21">
        <v>4</v>
      </c>
      <c r="G26" s="22">
        <v>1</v>
      </c>
      <c r="H26" s="23">
        <v>3</v>
      </c>
      <c r="I26" s="23">
        <v>4</v>
      </c>
      <c r="J26" s="23">
        <v>1</v>
      </c>
      <c r="K26" s="23">
        <v>2</v>
      </c>
      <c r="L26" s="23">
        <v>1</v>
      </c>
      <c r="M26" s="23">
        <v>1</v>
      </c>
      <c r="N26" s="23">
        <v>1</v>
      </c>
      <c r="O26" s="24">
        <v>1</v>
      </c>
      <c r="P26" s="25">
        <v>2</v>
      </c>
      <c r="Q26" s="26">
        <v>3</v>
      </c>
      <c r="R26" s="15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</row>
    <row r="27" spans="1:31" ht="57" thickBot="1">
      <c r="A27" s="3" t="s">
        <v>31</v>
      </c>
      <c r="B27" s="30" t="s">
        <v>48</v>
      </c>
      <c r="C27" s="62">
        <v>41</v>
      </c>
      <c r="D27" s="67">
        <v>1.4</v>
      </c>
      <c r="E27" s="64">
        <v>2</v>
      </c>
      <c r="F27" s="21">
        <v>2</v>
      </c>
      <c r="G27" s="22">
        <v>2</v>
      </c>
      <c r="H27" s="23">
        <v>2</v>
      </c>
      <c r="I27" s="23">
        <v>1</v>
      </c>
      <c r="J27" s="23">
        <v>7</v>
      </c>
      <c r="K27" s="23">
        <v>5</v>
      </c>
      <c r="L27" s="23">
        <v>6</v>
      </c>
      <c r="M27" s="23">
        <v>2</v>
      </c>
      <c r="N27" s="23">
        <v>3</v>
      </c>
      <c r="O27" s="24">
        <v>4</v>
      </c>
      <c r="P27" s="25">
        <v>5</v>
      </c>
      <c r="Q27" s="26">
        <v>2</v>
      </c>
      <c r="R27" s="15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</row>
    <row r="28" spans="1:31" ht="43" thickBot="1">
      <c r="A28" s="3" t="s">
        <v>31</v>
      </c>
      <c r="B28" s="68" t="s">
        <v>49</v>
      </c>
      <c r="C28" s="69">
        <v>78</v>
      </c>
      <c r="D28" s="70">
        <v>2.6</v>
      </c>
      <c r="E28" s="71">
        <v>6</v>
      </c>
      <c r="F28" s="46">
        <v>12</v>
      </c>
      <c r="G28" s="47">
        <v>5</v>
      </c>
      <c r="H28" s="48">
        <v>8</v>
      </c>
      <c r="I28" s="48">
        <v>9</v>
      </c>
      <c r="J28" s="48">
        <v>3</v>
      </c>
      <c r="K28" s="48">
        <v>6</v>
      </c>
      <c r="L28" s="48">
        <v>9</v>
      </c>
      <c r="M28" s="48">
        <v>7</v>
      </c>
      <c r="N28" s="48">
        <v>8</v>
      </c>
      <c r="O28" s="49">
        <v>2</v>
      </c>
      <c r="P28" s="50">
        <v>3</v>
      </c>
      <c r="Q28" s="51">
        <v>4</v>
      </c>
      <c r="R28" s="15"/>
      <c r="S28" s="16"/>
      <c r="T28" s="14">
        <f>SUM(D14:D28)</f>
        <v>71.600000000000009</v>
      </c>
      <c r="U28" s="16"/>
      <c r="V28" s="16"/>
      <c r="W28" s="16"/>
      <c r="X28" s="16"/>
      <c r="Y28" s="16"/>
      <c r="Z28" s="16"/>
      <c r="AA28" s="16"/>
      <c r="AB28" s="16"/>
      <c r="AC28" s="16"/>
      <c r="AD28" s="16"/>
      <c r="AE28" s="16"/>
    </row>
    <row r="29" spans="1:31" ht="43" thickBot="1">
      <c r="A29" s="3" t="s">
        <v>50</v>
      </c>
      <c r="B29" s="4" t="s">
        <v>51</v>
      </c>
      <c r="C29" s="53">
        <v>1</v>
      </c>
      <c r="D29" s="54" t="s">
        <v>27</v>
      </c>
      <c r="E29" s="55">
        <v>0</v>
      </c>
      <c r="F29" s="56">
        <v>0</v>
      </c>
      <c r="G29" s="57">
        <v>0</v>
      </c>
      <c r="H29" s="58">
        <v>0</v>
      </c>
      <c r="I29" s="58">
        <v>0</v>
      </c>
      <c r="J29" s="58">
        <v>0</v>
      </c>
      <c r="K29" s="58">
        <v>0</v>
      </c>
      <c r="L29" s="58">
        <v>1</v>
      </c>
      <c r="M29" s="58">
        <v>0</v>
      </c>
      <c r="N29" s="58">
        <v>0</v>
      </c>
      <c r="O29" s="59">
        <v>0</v>
      </c>
      <c r="P29" s="60">
        <v>0</v>
      </c>
      <c r="Q29" s="61">
        <v>0</v>
      </c>
      <c r="R29" s="15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</row>
    <row r="30" spans="1:31" ht="43" thickBot="1">
      <c r="A30" s="3" t="s">
        <v>50</v>
      </c>
      <c r="B30" s="52" t="s">
        <v>52</v>
      </c>
      <c r="C30" s="62">
        <v>46</v>
      </c>
      <c r="D30" s="67">
        <v>1.6</v>
      </c>
      <c r="E30" s="64">
        <v>0</v>
      </c>
      <c r="F30" s="21">
        <v>0</v>
      </c>
      <c r="G30" s="22">
        <v>0</v>
      </c>
      <c r="H30" s="23">
        <v>1</v>
      </c>
      <c r="I30" s="23">
        <v>2</v>
      </c>
      <c r="J30" s="23">
        <v>9</v>
      </c>
      <c r="K30" s="23">
        <v>6</v>
      </c>
      <c r="L30" s="23">
        <v>1</v>
      </c>
      <c r="M30" s="23">
        <v>7</v>
      </c>
      <c r="N30" s="23">
        <v>10</v>
      </c>
      <c r="O30" s="24">
        <v>6</v>
      </c>
      <c r="P30" s="25">
        <v>4</v>
      </c>
      <c r="Q30" s="26">
        <v>3</v>
      </c>
      <c r="R30" s="15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16"/>
      <c r="AE30" s="16"/>
    </row>
    <row r="31" spans="1:31" ht="43" thickBot="1">
      <c r="A31" s="3" t="s">
        <v>50</v>
      </c>
      <c r="B31" s="52" t="s">
        <v>53</v>
      </c>
      <c r="C31" s="72">
        <v>367</v>
      </c>
      <c r="D31" s="19">
        <v>12.4</v>
      </c>
      <c r="E31" s="73">
        <v>39</v>
      </c>
      <c r="F31" s="74">
        <v>18</v>
      </c>
      <c r="G31" s="75">
        <v>15</v>
      </c>
      <c r="H31" s="76">
        <v>47</v>
      </c>
      <c r="I31" s="76">
        <v>54</v>
      </c>
      <c r="J31" s="76">
        <v>33</v>
      </c>
      <c r="K31" s="76">
        <v>9</v>
      </c>
      <c r="L31" s="76">
        <v>18</v>
      </c>
      <c r="M31" s="76">
        <v>30</v>
      </c>
      <c r="N31" s="76">
        <v>39</v>
      </c>
      <c r="O31" s="77">
        <v>36</v>
      </c>
      <c r="P31" s="78">
        <v>29</v>
      </c>
      <c r="Q31" s="79">
        <v>18</v>
      </c>
      <c r="R31" s="15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</row>
    <row r="32" spans="1:31" ht="43" thickBot="1">
      <c r="A32" s="3" t="s">
        <v>50</v>
      </c>
      <c r="B32" s="52" t="s">
        <v>129</v>
      </c>
      <c r="C32" s="72">
        <v>4870</v>
      </c>
      <c r="D32" s="65">
        <v>164.2</v>
      </c>
      <c r="E32" s="73">
        <v>2334</v>
      </c>
      <c r="F32" s="74">
        <v>672</v>
      </c>
      <c r="G32" s="75">
        <v>372</v>
      </c>
      <c r="H32" s="76">
        <v>452</v>
      </c>
      <c r="I32" s="76">
        <v>1032</v>
      </c>
      <c r="J32" s="76">
        <v>8</v>
      </c>
      <c r="K32" s="76">
        <v>0</v>
      </c>
      <c r="L32" s="76">
        <v>0</v>
      </c>
      <c r="M32" s="76">
        <v>0</v>
      </c>
      <c r="N32" s="76">
        <v>0</v>
      </c>
      <c r="O32" s="77">
        <v>0</v>
      </c>
      <c r="P32" s="78">
        <v>0</v>
      </c>
      <c r="Q32" s="80">
        <v>23790</v>
      </c>
      <c r="R32" s="15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</row>
    <row r="33" spans="1:31" ht="43" thickBot="1">
      <c r="A33" s="3" t="s">
        <v>50</v>
      </c>
      <c r="B33" s="52" t="s">
        <v>55</v>
      </c>
      <c r="C33" s="62">
        <v>1</v>
      </c>
      <c r="D33" s="67" t="s">
        <v>27</v>
      </c>
      <c r="E33" s="64">
        <v>0</v>
      </c>
      <c r="F33" s="21">
        <v>0</v>
      </c>
      <c r="G33" s="22">
        <v>0</v>
      </c>
      <c r="H33" s="23">
        <v>0</v>
      </c>
      <c r="I33" s="23">
        <v>0</v>
      </c>
      <c r="J33" s="23">
        <v>0</v>
      </c>
      <c r="K33" s="23">
        <v>0</v>
      </c>
      <c r="L33" s="23">
        <v>1</v>
      </c>
      <c r="M33" s="23">
        <v>0</v>
      </c>
      <c r="N33" s="23">
        <v>0</v>
      </c>
      <c r="O33" s="24">
        <v>0</v>
      </c>
      <c r="P33" s="25">
        <v>0</v>
      </c>
      <c r="Q33" s="26">
        <v>0</v>
      </c>
      <c r="R33" s="15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</row>
    <row r="34" spans="1:31" ht="57" thickBot="1">
      <c r="A34" s="3" t="s">
        <v>50</v>
      </c>
      <c r="B34" s="66" t="s">
        <v>56</v>
      </c>
      <c r="C34" s="81">
        <v>46</v>
      </c>
      <c r="D34" s="63">
        <v>1.6</v>
      </c>
      <c r="E34" s="82">
        <v>8</v>
      </c>
      <c r="F34" s="83">
        <v>3</v>
      </c>
      <c r="G34" s="84">
        <v>5</v>
      </c>
      <c r="H34" s="85">
        <v>3</v>
      </c>
      <c r="I34" s="85">
        <v>5</v>
      </c>
      <c r="J34" s="85">
        <v>3</v>
      </c>
      <c r="K34" s="85">
        <v>2</v>
      </c>
      <c r="L34" s="85">
        <v>2</v>
      </c>
      <c r="M34" s="85">
        <v>4</v>
      </c>
      <c r="N34" s="85">
        <v>2</v>
      </c>
      <c r="O34" s="86">
        <v>5</v>
      </c>
      <c r="P34" s="87">
        <v>4</v>
      </c>
      <c r="Q34" s="80">
        <v>7</v>
      </c>
      <c r="R34" s="15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</row>
    <row r="35" spans="1:31" ht="43" thickBot="1">
      <c r="A35" s="3" t="s">
        <v>50</v>
      </c>
      <c r="B35" s="17" t="s">
        <v>57</v>
      </c>
      <c r="C35" s="88">
        <v>4399</v>
      </c>
      <c r="D35" s="89">
        <v>148.30000000000001</v>
      </c>
      <c r="E35" s="64">
        <v>1575</v>
      </c>
      <c r="F35" s="21">
        <v>747</v>
      </c>
      <c r="G35" s="22">
        <v>579</v>
      </c>
      <c r="H35" s="23">
        <v>351</v>
      </c>
      <c r="I35" s="23">
        <v>130</v>
      </c>
      <c r="J35" s="23">
        <v>37</v>
      </c>
      <c r="K35" s="23">
        <v>42</v>
      </c>
      <c r="L35" s="23">
        <v>7</v>
      </c>
      <c r="M35" s="23">
        <v>36</v>
      </c>
      <c r="N35" s="23">
        <v>40</v>
      </c>
      <c r="O35" s="24">
        <v>75</v>
      </c>
      <c r="P35" s="25">
        <v>780</v>
      </c>
      <c r="Q35" s="26">
        <v>894</v>
      </c>
      <c r="R35" s="90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</row>
    <row r="36" spans="1:31" ht="43" thickBot="1">
      <c r="A36" s="3" t="s">
        <v>50</v>
      </c>
      <c r="B36" s="17" t="s">
        <v>58</v>
      </c>
      <c r="C36" s="81">
        <v>10</v>
      </c>
      <c r="D36" s="63">
        <v>0.3</v>
      </c>
      <c r="E36" s="82">
        <v>0</v>
      </c>
      <c r="F36" s="83">
        <v>1</v>
      </c>
      <c r="G36" s="84">
        <v>2</v>
      </c>
      <c r="H36" s="85">
        <v>3</v>
      </c>
      <c r="I36" s="85">
        <v>1</v>
      </c>
      <c r="J36" s="85">
        <v>1</v>
      </c>
      <c r="K36" s="85">
        <v>0</v>
      </c>
      <c r="L36" s="85">
        <v>1</v>
      </c>
      <c r="M36" s="85">
        <v>0</v>
      </c>
      <c r="N36" s="85">
        <v>0</v>
      </c>
      <c r="O36" s="86">
        <v>0</v>
      </c>
      <c r="P36" s="87">
        <v>1</v>
      </c>
      <c r="Q36" s="80">
        <v>0</v>
      </c>
      <c r="R36" s="15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</row>
    <row r="37" spans="1:31" ht="43" thickBot="1">
      <c r="A37" s="3" t="s">
        <v>50</v>
      </c>
      <c r="B37" s="17" t="s">
        <v>126</v>
      </c>
      <c r="C37" s="81">
        <v>237</v>
      </c>
      <c r="D37" s="63">
        <v>8</v>
      </c>
      <c r="E37" s="82">
        <v>5</v>
      </c>
      <c r="F37" s="83">
        <v>15</v>
      </c>
      <c r="G37" s="84">
        <v>5</v>
      </c>
      <c r="H37" s="85">
        <v>7</v>
      </c>
      <c r="I37" s="85">
        <v>11</v>
      </c>
      <c r="J37" s="85">
        <v>22</v>
      </c>
      <c r="K37" s="85">
        <v>50</v>
      </c>
      <c r="L37" s="85">
        <v>44</v>
      </c>
      <c r="M37" s="85">
        <v>33</v>
      </c>
      <c r="N37" s="85">
        <v>23</v>
      </c>
      <c r="O37" s="86">
        <v>15</v>
      </c>
      <c r="P37" s="87">
        <v>7</v>
      </c>
      <c r="Q37" s="80" t="s">
        <v>60</v>
      </c>
      <c r="R37" s="15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</row>
    <row r="38" spans="1:31" ht="43" thickBot="1">
      <c r="A38" s="3" t="s">
        <v>50</v>
      </c>
      <c r="B38" s="17" t="s">
        <v>61</v>
      </c>
      <c r="C38" s="62">
        <v>11</v>
      </c>
      <c r="D38" s="63">
        <v>0.4</v>
      </c>
      <c r="E38" s="64">
        <v>2</v>
      </c>
      <c r="F38" s="21">
        <v>2</v>
      </c>
      <c r="G38" s="22">
        <v>3</v>
      </c>
      <c r="H38" s="23">
        <v>2</v>
      </c>
      <c r="I38" s="23">
        <v>0</v>
      </c>
      <c r="J38" s="23">
        <v>0</v>
      </c>
      <c r="K38" s="23">
        <v>0</v>
      </c>
      <c r="L38" s="23">
        <v>0</v>
      </c>
      <c r="M38" s="23">
        <v>0</v>
      </c>
      <c r="N38" s="23">
        <v>0</v>
      </c>
      <c r="O38" s="24">
        <v>2</v>
      </c>
      <c r="P38" s="25">
        <v>0</v>
      </c>
      <c r="Q38" s="26">
        <v>1</v>
      </c>
      <c r="R38" s="15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  <c r="AE38" s="16"/>
    </row>
    <row r="39" spans="1:31" ht="43" thickBot="1">
      <c r="A39" s="3" t="s">
        <v>50</v>
      </c>
      <c r="B39" s="17" t="s">
        <v>62</v>
      </c>
      <c r="C39" s="62">
        <v>234</v>
      </c>
      <c r="D39" s="67">
        <v>7.9</v>
      </c>
      <c r="E39" s="64">
        <v>14</v>
      </c>
      <c r="F39" s="21">
        <v>0</v>
      </c>
      <c r="G39" s="22">
        <v>2</v>
      </c>
      <c r="H39" s="23">
        <v>9</v>
      </c>
      <c r="I39" s="23">
        <v>15</v>
      </c>
      <c r="J39" s="23">
        <v>24</v>
      </c>
      <c r="K39" s="23">
        <v>36</v>
      </c>
      <c r="L39" s="23">
        <v>48</v>
      </c>
      <c r="M39" s="23">
        <v>40</v>
      </c>
      <c r="N39" s="23">
        <v>22</v>
      </c>
      <c r="O39" s="24">
        <v>12</v>
      </c>
      <c r="P39" s="25">
        <v>12</v>
      </c>
      <c r="Q39" s="26" t="s">
        <v>63</v>
      </c>
      <c r="R39" s="15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 s="16"/>
      <c r="AE39" s="16"/>
    </row>
    <row r="40" spans="1:31" ht="43" thickBot="1">
      <c r="A40" s="3" t="s">
        <v>67</v>
      </c>
      <c r="B40" s="106" t="s">
        <v>68</v>
      </c>
      <c r="C40" s="107">
        <v>64</v>
      </c>
      <c r="D40" s="108">
        <v>2.2000000000000002</v>
      </c>
      <c r="E40" s="109">
        <v>2</v>
      </c>
      <c r="F40" s="110">
        <v>2</v>
      </c>
      <c r="G40" s="111">
        <v>1</v>
      </c>
      <c r="H40" s="112">
        <v>2</v>
      </c>
      <c r="I40" s="112">
        <v>6</v>
      </c>
      <c r="J40" s="112">
        <v>6</v>
      </c>
      <c r="K40" s="112">
        <v>11</v>
      </c>
      <c r="L40" s="112">
        <v>12</v>
      </c>
      <c r="M40" s="112">
        <v>9</v>
      </c>
      <c r="N40" s="112">
        <v>3</v>
      </c>
      <c r="O40" s="113">
        <v>6</v>
      </c>
      <c r="P40" s="113">
        <v>4</v>
      </c>
      <c r="Q40" s="114">
        <v>2</v>
      </c>
      <c r="R40" s="15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/>
      <c r="AD40" s="16"/>
      <c r="AE40" s="16"/>
    </row>
    <row r="41" spans="1:31" ht="57" thickBot="1">
      <c r="A41" s="3" t="s">
        <v>67</v>
      </c>
      <c r="B41" s="30" t="s">
        <v>70</v>
      </c>
      <c r="C41" s="62">
        <v>17</v>
      </c>
      <c r="D41" s="67">
        <v>0.6</v>
      </c>
      <c r="E41" s="64">
        <v>0</v>
      </c>
      <c r="F41" s="21">
        <v>1</v>
      </c>
      <c r="G41" s="22">
        <v>3</v>
      </c>
      <c r="H41" s="23">
        <v>5</v>
      </c>
      <c r="I41" s="23">
        <v>4</v>
      </c>
      <c r="J41" s="23">
        <v>1</v>
      </c>
      <c r="K41" s="23">
        <v>0</v>
      </c>
      <c r="L41" s="23">
        <v>0</v>
      </c>
      <c r="M41" s="23">
        <v>0</v>
      </c>
      <c r="N41" s="23">
        <v>1</v>
      </c>
      <c r="O41" s="117">
        <v>1</v>
      </c>
      <c r="P41" s="117">
        <v>1</v>
      </c>
      <c r="Q41" s="118">
        <v>0</v>
      </c>
      <c r="R41" s="15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6"/>
    </row>
    <row r="42" spans="1:31" ht="71" thickBot="1">
      <c r="A42" s="3" t="s">
        <v>67</v>
      </c>
      <c r="B42" s="30" t="s">
        <v>71</v>
      </c>
      <c r="C42" s="62">
        <v>292</v>
      </c>
      <c r="D42" s="67">
        <v>9.8000000000000007</v>
      </c>
      <c r="E42" s="64">
        <v>32</v>
      </c>
      <c r="F42" s="21">
        <v>40</v>
      </c>
      <c r="G42" s="22">
        <v>37</v>
      </c>
      <c r="H42" s="23">
        <v>33</v>
      </c>
      <c r="I42" s="23">
        <v>34</v>
      </c>
      <c r="J42" s="23">
        <v>16</v>
      </c>
      <c r="K42" s="23">
        <v>14</v>
      </c>
      <c r="L42" s="23">
        <v>14</v>
      </c>
      <c r="M42" s="23">
        <v>16</v>
      </c>
      <c r="N42" s="23">
        <v>16</v>
      </c>
      <c r="O42" s="117">
        <v>15</v>
      </c>
      <c r="P42" s="117">
        <v>25</v>
      </c>
      <c r="Q42" s="80">
        <v>25</v>
      </c>
      <c r="R42" s="15"/>
      <c r="S42" s="16"/>
      <c r="T42" s="16"/>
      <c r="U42" s="16"/>
      <c r="V42" s="16"/>
      <c r="W42" s="16"/>
      <c r="X42" s="16"/>
      <c r="Y42" s="16"/>
      <c r="Z42" s="16"/>
      <c r="AA42" s="16"/>
      <c r="AB42" s="16"/>
      <c r="AC42" s="16"/>
      <c r="AD42" s="16"/>
      <c r="AE42" s="16"/>
    </row>
    <row r="43" spans="1:31" ht="71" thickBot="1">
      <c r="A43" s="3" t="s">
        <v>67</v>
      </c>
      <c r="B43" s="30" t="s">
        <v>72</v>
      </c>
      <c r="C43" s="62">
        <v>3</v>
      </c>
      <c r="D43" s="67">
        <v>0.1</v>
      </c>
      <c r="E43" s="64">
        <v>0</v>
      </c>
      <c r="F43" s="21">
        <v>1</v>
      </c>
      <c r="G43" s="22">
        <v>0</v>
      </c>
      <c r="H43" s="23">
        <v>1</v>
      </c>
      <c r="I43" s="23">
        <v>1</v>
      </c>
      <c r="J43" s="23">
        <v>0</v>
      </c>
      <c r="K43" s="23">
        <v>0</v>
      </c>
      <c r="L43" s="23">
        <v>0</v>
      </c>
      <c r="M43" s="23">
        <v>0</v>
      </c>
      <c r="N43" s="23">
        <v>0</v>
      </c>
      <c r="O43" s="116">
        <v>0</v>
      </c>
      <c r="P43" s="116">
        <v>0</v>
      </c>
      <c r="Q43" s="80">
        <v>1</v>
      </c>
      <c r="R43" s="15"/>
      <c r="S43" s="16"/>
      <c r="T43" s="16"/>
      <c r="U43" s="16"/>
      <c r="V43" s="16"/>
      <c r="W43" s="16"/>
      <c r="X43" s="16"/>
      <c r="Y43" s="16"/>
      <c r="Z43" s="16"/>
      <c r="AA43" s="16"/>
      <c r="AB43" s="16"/>
      <c r="AC43" s="16"/>
      <c r="AD43" s="16"/>
      <c r="AE43" s="16"/>
    </row>
    <row r="44" spans="1:31" ht="57" thickBot="1">
      <c r="A44" s="3" t="s">
        <v>67</v>
      </c>
      <c r="B44" s="30" t="s">
        <v>73</v>
      </c>
      <c r="C44" s="62">
        <v>273</v>
      </c>
      <c r="D44" s="67">
        <v>9.1999999999999993</v>
      </c>
      <c r="E44" s="64">
        <v>28</v>
      </c>
      <c r="F44" s="21">
        <v>39</v>
      </c>
      <c r="G44" s="22">
        <v>29</v>
      </c>
      <c r="H44" s="23">
        <v>30</v>
      </c>
      <c r="I44" s="23">
        <v>21</v>
      </c>
      <c r="J44" s="23">
        <v>8</v>
      </c>
      <c r="K44" s="23">
        <v>17</v>
      </c>
      <c r="L44" s="23">
        <v>12</v>
      </c>
      <c r="M44" s="23">
        <v>18</v>
      </c>
      <c r="N44" s="23">
        <v>28</v>
      </c>
      <c r="O44" s="94">
        <v>13</v>
      </c>
      <c r="P44" s="94">
        <v>30</v>
      </c>
      <c r="Q44" s="80">
        <v>30</v>
      </c>
      <c r="R44" s="15"/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6"/>
      <c r="AD44" s="16"/>
      <c r="AE44" s="16"/>
    </row>
    <row r="45" spans="1:31" ht="71" thickBot="1">
      <c r="A45" s="3" t="s">
        <v>67</v>
      </c>
      <c r="B45" s="17" t="s">
        <v>74</v>
      </c>
      <c r="C45" s="119">
        <v>38</v>
      </c>
      <c r="D45" s="120">
        <v>1.3</v>
      </c>
      <c r="E45" s="64">
        <v>12</v>
      </c>
      <c r="F45" s="21">
        <v>2</v>
      </c>
      <c r="G45" s="22">
        <v>1</v>
      </c>
      <c r="H45" s="23">
        <v>3</v>
      </c>
      <c r="I45" s="23">
        <v>3</v>
      </c>
      <c r="J45" s="23">
        <v>3</v>
      </c>
      <c r="K45" s="23">
        <v>7</v>
      </c>
      <c r="L45" s="23">
        <v>2</v>
      </c>
      <c r="M45" s="23">
        <v>3</v>
      </c>
      <c r="N45" s="23">
        <v>1</v>
      </c>
      <c r="O45" s="116">
        <v>0</v>
      </c>
      <c r="P45" s="116">
        <v>1</v>
      </c>
      <c r="Q45" s="80">
        <v>4</v>
      </c>
      <c r="R45" s="15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</row>
    <row r="46" spans="1:31" ht="43" thickBot="1">
      <c r="A46" s="3" t="s">
        <v>67</v>
      </c>
      <c r="B46" s="68" t="s">
        <v>125</v>
      </c>
      <c r="C46" s="69">
        <v>376</v>
      </c>
      <c r="D46" s="70">
        <v>12.7</v>
      </c>
      <c r="E46" s="71">
        <v>25</v>
      </c>
      <c r="F46" s="46">
        <v>27</v>
      </c>
      <c r="G46" s="47">
        <v>27</v>
      </c>
      <c r="H46" s="48">
        <v>31</v>
      </c>
      <c r="I46" s="48">
        <v>45</v>
      </c>
      <c r="J46" s="48">
        <v>39</v>
      </c>
      <c r="K46" s="48">
        <v>36</v>
      </c>
      <c r="L46" s="48">
        <v>30</v>
      </c>
      <c r="M46" s="48">
        <v>37</v>
      </c>
      <c r="N46" s="48">
        <v>37</v>
      </c>
      <c r="O46" s="121">
        <v>25</v>
      </c>
      <c r="P46" s="122">
        <v>17</v>
      </c>
      <c r="Q46" s="105">
        <v>26</v>
      </c>
      <c r="R46" s="15"/>
      <c r="S46" s="16"/>
      <c r="T46" s="219">
        <f>SUM(C40:C46)</f>
        <v>1063</v>
      </c>
      <c r="U46" s="16"/>
      <c r="V46" s="16"/>
      <c r="W46" s="16"/>
      <c r="X46" s="16"/>
      <c r="Y46" s="16"/>
      <c r="Z46" s="16"/>
      <c r="AA46" s="16"/>
      <c r="AB46" s="16"/>
      <c r="AC46" s="16"/>
      <c r="AD46" s="16"/>
      <c r="AE46" s="16"/>
    </row>
    <row r="47" spans="1:31" ht="29" thickBot="1">
      <c r="A47" s="123" t="s">
        <v>76</v>
      </c>
      <c r="B47" s="52" t="s">
        <v>124</v>
      </c>
      <c r="C47" s="124">
        <v>9</v>
      </c>
      <c r="D47" s="125">
        <v>0.3</v>
      </c>
      <c r="E47" s="126">
        <v>0</v>
      </c>
      <c r="F47" s="127">
        <v>0</v>
      </c>
      <c r="G47" s="128">
        <v>0</v>
      </c>
      <c r="H47" s="129">
        <v>0</v>
      </c>
      <c r="I47" s="129">
        <v>0</v>
      </c>
      <c r="J47" s="129">
        <v>2</v>
      </c>
      <c r="K47" s="129">
        <v>4</v>
      </c>
      <c r="L47" s="129">
        <v>1</v>
      </c>
      <c r="M47" s="129">
        <v>0</v>
      </c>
      <c r="N47" s="129">
        <v>1</v>
      </c>
      <c r="O47" s="130">
        <v>1</v>
      </c>
      <c r="P47" s="130">
        <v>0</v>
      </c>
      <c r="Q47" s="131" t="s">
        <v>60</v>
      </c>
      <c r="R47" s="15"/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6"/>
      <c r="AD47" s="16"/>
      <c r="AE47" s="16"/>
    </row>
    <row r="48" spans="1:31" ht="17" thickBot="1">
      <c r="A48" s="123" t="s">
        <v>76</v>
      </c>
      <c r="B48" s="52" t="s">
        <v>79</v>
      </c>
      <c r="C48" s="53">
        <v>3</v>
      </c>
      <c r="D48" s="54">
        <v>0.1</v>
      </c>
      <c r="E48" s="64">
        <v>0</v>
      </c>
      <c r="F48" s="138">
        <v>0</v>
      </c>
      <c r="G48" s="139">
        <v>0</v>
      </c>
      <c r="H48" s="140">
        <v>0</v>
      </c>
      <c r="I48" s="140">
        <v>0</v>
      </c>
      <c r="J48" s="140">
        <v>1</v>
      </c>
      <c r="K48" s="140">
        <v>1</v>
      </c>
      <c r="L48" s="140">
        <v>0</v>
      </c>
      <c r="M48" s="140">
        <v>0</v>
      </c>
      <c r="N48" s="140">
        <v>1</v>
      </c>
      <c r="O48" s="141">
        <v>0</v>
      </c>
      <c r="P48" s="141">
        <v>0</v>
      </c>
      <c r="Q48" s="142">
        <v>0</v>
      </c>
      <c r="R48" s="15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  <c r="AD48" s="16"/>
      <c r="AE48" s="16"/>
    </row>
    <row r="49" spans="1:31" ht="29" thickBot="1">
      <c r="A49" s="123" t="s">
        <v>76</v>
      </c>
      <c r="B49" s="52" t="s">
        <v>81</v>
      </c>
      <c r="C49" s="62">
        <v>2</v>
      </c>
      <c r="D49" s="67" t="s">
        <v>27</v>
      </c>
      <c r="E49" s="20">
        <v>0</v>
      </c>
      <c r="F49" s="21">
        <v>0</v>
      </c>
      <c r="G49" s="22">
        <v>0</v>
      </c>
      <c r="H49" s="23">
        <v>0</v>
      </c>
      <c r="I49" s="23">
        <v>0</v>
      </c>
      <c r="J49" s="23">
        <v>0</v>
      </c>
      <c r="K49" s="23">
        <v>0</v>
      </c>
      <c r="L49" s="23">
        <v>1</v>
      </c>
      <c r="M49" s="23">
        <v>0</v>
      </c>
      <c r="N49" s="23">
        <v>0</v>
      </c>
      <c r="O49" s="116">
        <v>0</v>
      </c>
      <c r="P49" s="116">
        <v>1</v>
      </c>
      <c r="Q49" s="143">
        <v>0</v>
      </c>
      <c r="R49" s="15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6"/>
      <c r="AD49" s="16"/>
      <c r="AE49" s="16"/>
    </row>
    <row r="50" spans="1:31" ht="29" thickBot="1">
      <c r="A50" s="123" t="s">
        <v>76</v>
      </c>
      <c r="B50" s="30" t="s">
        <v>82</v>
      </c>
      <c r="C50" s="62">
        <v>221</v>
      </c>
      <c r="D50" s="67">
        <v>7.5</v>
      </c>
      <c r="E50" s="20">
        <v>0</v>
      </c>
      <c r="F50" s="21">
        <v>4</v>
      </c>
      <c r="G50" s="22">
        <v>0</v>
      </c>
      <c r="H50" s="23">
        <v>1</v>
      </c>
      <c r="I50" s="23">
        <v>15</v>
      </c>
      <c r="J50" s="23">
        <v>37</v>
      </c>
      <c r="K50" s="23">
        <v>41</v>
      </c>
      <c r="L50" s="23">
        <v>49</v>
      </c>
      <c r="M50" s="23">
        <v>35</v>
      </c>
      <c r="N50" s="23">
        <v>30</v>
      </c>
      <c r="O50" s="116">
        <v>7</v>
      </c>
      <c r="P50" s="116">
        <v>2</v>
      </c>
      <c r="Q50" s="143">
        <v>2</v>
      </c>
      <c r="R50" s="15"/>
      <c r="S50" s="16"/>
      <c r="T50" s="16"/>
      <c r="U50" s="16"/>
      <c r="V50" s="16"/>
      <c r="W50" s="16"/>
      <c r="X50" s="16"/>
      <c r="Y50" s="16"/>
      <c r="Z50" s="16"/>
      <c r="AA50" s="16"/>
      <c r="AB50" s="16"/>
      <c r="AC50" s="16"/>
      <c r="AD50" s="16"/>
      <c r="AE50" s="16"/>
    </row>
    <row r="51" spans="1:31" ht="17" thickBot="1">
      <c r="A51" s="123" t="s">
        <v>76</v>
      </c>
      <c r="B51" s="30" t="s">
        <v>84</v>
      </c>
      <c r="C51" s="144">
        <v>5</v>
      </c>
      <c r="D51" s="67">
        <v>0.2</v>
      </c>
      <c r="E51" s="64">
        <v>0</v>
      </c>
      <c r="F51" s="21">
        <v>0</v>
      </c>
      <c r="G51" s="22">
        <v>0</v>
      </c>
      <c r="H51" s="23">
        <v>0</v>
      </c>
      <c r="I51" s="23">
        <v>1</v>
      </c>
      <c r="J51" s="23">
        <v>0</v>
      </c>
      <c r="K51" s="23">
        <v>2</v>
      </c>
      <c r="L51" s="23">
        <v>1</v>
      </c>
      <c r="M51" s="23">
        <v>0</v>
      </c>
      <c r="N51" s="23">
        <v>0</v>
      </c>
      <c r="O51" s="116">
        <v>0</v>
      </c>
      <c r="P51" s="116">
        <v>1</v>
      </c>
      <c r="Q51" s="143">
        <v>0</v>
      </c>
      <c r="R51" s="15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  <c r="AD51" s="16"/>
      <c r="AE51" s="16"/>
    </row>
    <row r="52" spans="1:31" ht="29" thickBot="1">
      <c r="A52" s="123" t="s">
        <v>76</v>
      </c>
      <c r="B52" s="30" t="s">
        <v>87</v>
      </c>
      <c r="C52" s="145">
        <v>14</v>
      </c>
      <c r="D52" s="108">
        <v>0.5</v>
      </c>
      <c r="E52" s="146">
        <v>0</v>
      </c>
      <c r="F52" s="46">
        <v>1</v>
      </c>
      <c r="G52" s="47">
        <v>0</v>
      </c>
      <c r="H52" s="48">
        <v>0</v>
      </c>
      <c r="I52" s="48">
        <v>1</v>
      </c>
      <c r="J52" s="48">
        <v>0</v>
      </c>
      <c r="K52" s="48">
        <v>1</v>
      </c>
      <c r="L52" s="48">
        <v>6</v>
      </c>
      <c r="M52" s="48">
        <v>4</v>
      </c>
      <c r="N52" s="48">
        <v>1</v>
      </c>
      <c r="O52" s="147">
        <v>0</v>
      </c>
      <c r="P52" s="147">
        <v>0</v>
      </c>
      <c r="Q52" s="105">
        <v>0</v>
      </c>
      <c r="R52" s="15"/>
      <c r="S52" s="16"/>
      <c r="T52" s="16">
        <f>SUM(C47:C52)</f>
        <v>254</v>
      </c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</row>
    <row r="53" spans="1:31" ht="29" thickBot="1">
      <c r="A53" s="3" t="s">
        <v>88</v>
      </c>
      <c r="B53" s="148" t="s">
        <v>89</v>
      </c>
      <c r="C53" s="149">
        <v>4</v>
      </c>
      <c r="D53" s="150">
        <v>0.1</v>
      </c>
      <c r="E53" s="151">
        <v>0</v>
      </c>
      <c r="F53" s="8">
        <v>0</v>
      </c>
      <c r="G53" s="9">
        <v>0</v>
      </c>
      <c r="H53" s="10">
        <v>1</v>
      </c>
      <c r="I53" s="10">
        <v>1</v>
      </c>
      <c r="J53" s="10">
        <v>0</v>
      </c>
      <c r="K53" s="10">
        <v>0</v>
      </c>
      <c r="L53" s="10">
        <v>0</v>
      </c>
      <c r="M53" s="10">
        <v>2</v>
      </c>
      <c r="N53" s="10">
        <v>0</v>
      </c>
      <c r="O53" s="11">
        <v>0</v>
      </c>
      <c r="P53" s="12">
        <v>0</v>
      </c>
      <c r="Q53" s="13" t="s">
        <v>63</v>
      </c>
      <c r="R53" s="15"/>
      <c r="S53" s="16"/>
      <c r="T53" s="16"/>
      <c r="U53" s="16"/>
      <c r="V53" s="16"/>
      <c r="W53" s="16"/>
      <c r="X53" s="16"/>
      <c r="Y53" s="16"/>
      <c r="Z53" s="16"/>
      <c r="AA53" s="16"/>
      <c r="AB53" s="16"/>
      <c r="AC53" s="16"/>
      <c r="AD53" s="16"/>
      <c r="AE53" s="16"/>
    </row>
    <row r="54" spans="1:31" ht="71" thickBot="1">
      <c r="A54" s="3" t="s">
        <v>88</v>
      </c>
      <c r="B54" s="152" t="s">
        <v>123</v>
      </c>
      <c r="C54" s="153">
        <v>325</v>
      </c>
      <c r="D54" s="63">
        <v>11</v>
      </c>
      <c r="E54" s="82">
        <v>21</v>
      </c>
      <c r="F54" s="83">
        <v>29</v>
      </c>
      <c r="G54" s="84">
        <v>18</v>
      </c>
      <c r="H54" s="85">
        <v>34</v>
      </c>
      <c r="I54" s="85">
        <v>23</v>
      </c>
      <c r="J54" s="85">
        <v>30</v>
      </c>
      <c r="K54" s="85">
        <v>40</v>
      </c>
      <c r="L54" s="85">
        <v>28</v>
      </c>
      <c r="M54" s="85">
        <v>21</v>
      </c>
      <c r="N54" s="85">
        <v>29</v>
      </c>
      <c r="O54" s="86">
        <v>35</v>
      </c>
      <c r="P54" s="87">
        <v>17</v>
      </c>
      <c r="Q54" s="80">
        <v>15</v>
      </c>
      <c r="R54" s="15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</row>
    <row r="55" spans="1:31" ht="29" thickBot="1">
      <c r="A55" s="3" t="s">
        <v>98</v>
      </c>
      <c r="B55" s="42" t="s">
        <v>121</v>
      </c>
      <c r="C55" s="179">
        <v>215</v>
      </c>
      <c r="D55" s="180">
        <v>7.2</v>
      </c>
      <c r="E55" s="55">
        <v>30</v>
      </c>
      <c r="F55" s="56">
        <v>29</v>
      </c>
      <c r="G55" s="57">
        <v>26</v>
      </c>
      <c r="H55" s="58">
        <v>23</v>
      </c>
      <c r="I55" s="58">
        <v>15</v>
      </c>
      <c r="J55" s="58">
        <v>6</v>
      </c>
      <c r="K55" s="58">
        <v>8</v>
      </c>
      <c r="L55" s="58">
        <v>7</v>
      </c>
      <c r="M55" s="58">
        <v>5</v>
      </c>
      <c r="N55" s="58">
        <v>9</v>
      </c>
      <c r="O55" s="59">
        <v>18</v>
      </c>
      <c r="P55" s="60">
        <v>39</v>
      </c>
      <c r="Q55" s="61">
        <v>14</v>
      </c>
      <c r="R55" s="182"/>
      <c r="S55" s="16"/>
      <c r="T55" s="181"/>
      <c r="U55" s="181"/>
      <c r="V55" s="181"/>
      <c r="W55" s="181"/>
      <c r="X55" s="181"/>
      <c r="Y55" s="181"/>
      <c r="Z55" s="181"/>
      <c r="AA55" s="181"/>
      <c r="AB55" s="181"/>
      <c r="AC55" s="181"/>
      <c r="AD55" s="181"/>
      <c r="AE55" s="181"/>
    </row>
    <row r="56" spans="1:31" ht="29" thickBot="1">
      <c r="A56" s="3" t="s">
        <v>98</v>
      </c>
      <c r="B56" s="152" t="s">
        <v>122</v>
      </c>
      <c r="C56" s="29">
        <v>965</v>
      </c>
      <c r="D56" s="19">
        <v>32.5</v>
      </c>
      <c r="E56" s="64">
        <v>144</v>
      </c>
      <c r="F56" s="21">
        <v>60</v>
      </c>
      <c r="G56" s="22">
        <v>51</v>
      </c>
      <c r="H56" s="23">
        <v>70</v>
      </c>
      <c r="I56" s="23">
        <v>84</v>
      </c>
      <c r="J56" s="23">
        <v>50</v>
      </c>
      <c r="K56" s="23">
        <v>63</v>
      </c>
      <c r="L56" s="23">
        <v>79</v>
      </c>
      <c r="M56" s="23">
        <v>79</v>
      </c>
      <c r="N56" s="23">
        <v>81</v>
      </c>
      <c r="O56" s="24">
        <v>71</v>
      </c>
      <c r="P56" s="25">
        <v>133</v>
      </c>
      <c r="Q56" s="26">
        <v>204</v>
      </c>
      <c r="R56" s="182"/>
      <c r="S56" s="16"/>
      <c r="T56" s="181"/>
      <c r="U56" s="181"/>
      <c r="V56" s="181"/>
      <c r="W56" s="181"/>
      <c r="X56" s="181"/>
      <c r="Y56" s="181"/>
      <c r="Z56" s="181"/>
      <c r="AA56" s="181"/>
      <c r="AB56" s="181"/>
      <c r="AC56" s="181"/>
      <c r="AD56" s="181"/>
      <c r="AE56" s="181"/>
    </row>
    <row r="57" spans="1:31" ht="17" thickBot="1">
      <c r="A57" s="3" t="s">
        <v>98</v>
      </c>
      <c r="B57" s="183" t="s">
        <v>88</v>
      </c>
      <c r="C57" s="43">
        <v>5</v>
      </c>
      <c r="D57" s="184">
        <v>0.2</v>
      </c>
      <c r="E57" s="185">
        <v>0</v>
      </c>
      <c r="F57" s="46">
        <v>0</v>
      </c>
      <c r="G57" s="47">
        <v>0</v>
      </c>
      <c r="H57" s="48">
        <v>0</v>
      </c>
      <c r="I57" s="48">
        <v>1</v>
      </c>
      <c r="J57" s="48">
        <v>1</v>
      </c>
      <c r="K57" s="48">
        <v>1</v>
      </c>
      <c r="L57" s="48">
        <v>0</v>
      </c>
      <c r="M57" s="48">
        <v>1</v>
      </c>
      <c r="N57" s="48">
        <v>0</v>
      </c>
      <c r="O57" s="49">
        <v>1</v>
      </c>
      <c r="P57" s="50">
        <v>0</v>
      </c>
      <c r="Q57" s="51" t="s">
        <v>63</v>
      </c>
      <c r="R57" s="182"/>
      <c r="S57" s="16"/>
      <c r="T57" s="221">
        <f>SUM(C55:C57)</f>
        <v>1185</v>
      </c>
      <c r="U57" s="181"/>
      <c r="V57" s="181"/>
      <c r="W57" s="181"/>
      <c r="X57" s="181"/>
      <c r="Y57" s="181"/>
      <c r="Z57" s="181"/>
      <c r="AA57" s="181"/>
      <c r="AB57" s="181"/>
      <c r="AC57" s="181"/>
      <c r="AD57" s="181"/>
      <c r="AE57" s="181"/>
    </row>
    <row r="58" spans="1:31" ht="16" customHeight="1">
      <c r="B58" s="215"/>
      <c r="C58" s="215"/>
      <c r="D58" s="215"/>
      <c r="E58" s="215"/>
      <c r="F58" s="215"/>
      <c r="G58" s="215"/>
      <c r="H58" s="215"/>
      <c r="I58" s="215"/>
      <c r="J58" s="215"/>
      <c r="K58" s="215"/>
      <c r="L58" s="215"/>
      <c r="M58" s="215"/>
      <c r="N58" s="215"/>
      <c r="O58" s="215"/>
      <c r="P58" s="215"/>
      <c r="Q58" s="215"/>
      <c r="R58" s="215"/>
      <c r="S58" s="215"/>
      <c r="T58" s="186"/>
      <c r="U58" s="186"/>
      <c r="V58" s="186"/>
      <c r="W58" s="186"/>
      <c r="X58" s="186"/>
      <c r="Y58" s="186"/>
      <c r="Z58" s="186"/>
      <c r="AA58" s="186"/>
      <c r="AB58" s="186"/>
      <c r="AC58" s="186"/>
      <c r="AD58" s="186"/>
      <c r="AE58" s="186"/>
    </row>
    <row r="59" spans="1:31" ht="18" customHeight="1">
      <c r="B59" s="187"/>
      <c r="C59" s="188"/>
      <c r="D59" s="188"/>
      <c r="E59" s="188"/>
      <c r="F59" s="188"/>
      <c r="G59" s="188"/>
      <c r="H59" s="188"/>
      <c r="I59" s="188"/>
      <c r="J59" s="188"/>
      <c r="K59" s="188"/>
      <c r="L59" s="188"/>
      <c r="M59" s="188"/>
      <c r="N59" s="188"/>
      <c r="O59" s="188"/>
      <c r="P59" s="188"/>
      <c r="Q59" s="188"/>
      <c r="R59" s="189"/>
      <c r="S59" s="189"/>
      <c r="T59" s="189"/>
      <c r="U59" s="189"/>
      <c r="V59" s="189"/>
      <c r="W59" s="191"/>
      <c r="X59" s="189"/>
      <c r="Y59" s="189"/>
      <c r="Z59" s="192"/>
      <c r="AA59" s="193"/>
      <c r="AB59" s="194"/>
      <c r="AC59" s="195"/>
      <c r="AD59" s="193"/>
      <c r="AE59" s="189"/>
    </row>
    <row r="60" spans="1:31">
      <c r="B60" s="196"/>
      <c r="C60" s="195"/>
      <c r="D60" s="197"/>
      <c r="E60" s="198"/>
      <c r="F60" s="198"/>
      <c r="G60" s="198"/>
      <c r="H60" s="198"/>
      <c r="I60" s="198"/>
      <c r="J60" s="198"/>
      <c r="K60" s="198"/>
      <c r="L60" s="198"/>
      <c r="M60" s="198"/>
      <c r="N60" s="198"/>
      <c r="O60" s="198"/>
      <c r="P60" s="198"/>
      <c r="Q60" s="195"/>
      <c r="R60" s="197"/>
      <c r="S60" s="197"/>
      <c r="T60" s="197"/>
      <c r="U60" s="197"/>
      <c r="V60" s="197"/>
      <c r="W60" s="199"/>
      <c r="X60" s="197"/>
      <c r="Y60" s="197"/>
      <c r="Z60" s="192"/>
      <c r="AA60" s="193"/>
      <c r="AB60" s="194"/>
      <c r="AC60" s="195"/>
      <c r="AD60" s="193" t="s">
        <v>102</v>
      </c>
      <c r="AE60" s="195" t="s">
        <v>102</v>
      </c>
    </row>
    <row r="61" spans="1:31">
      <c r="B61" s="196"/>
      <c r="C61" s="195"/>
      <c r="D61" s="197"/>
      <c r="E61" s="198"/>
      <c r="F61" s="198"/>
      <c r="G61" s="198"/>
      <c r="H61" s="198"/>
      <c r="I61" s="198"/>
      <c r="J61" s="198"/>
      <c r="K61" s="198"/>
      <c r="L61" s="198"/>
      <c r="M61" s="198"/>
      <c r="N61" s="198"/>
      <c r="O61" s="198"/>
      <c r="P61" s="198"/>
      <c r="Q61" s="195"/>
      <c r="R61" s="197"/>
      <c r="S61" s="197"/>
      <c r="T61" s="197"/>
      <c r="U61" s="197"/>
      <c r="V61" s="197"/>
      <c r="W61" s="199"/>
      <c r="X61" s="197"/>
      <c r="Y61" s="197"/>
      <c r="Z61" s="192"/>
      <c r="AA61" s="193"/>
      <c r="AB61" s="194"/>
      <c r="AC61" s="195"/>
      <c r="AD61" s="193"/>
      <c r="AE61" s="195"/>
    </row>
    <row r="62" spans="1:31" ht="18" customHeight="1">
      <c r="B62" s="216"/>
      <c r="C62" s="216"/>
      <c r="D62" s="216"/>
      <c r="E62" s="216"/>
      <c r="F62" s="216"/>
      <c r="G62" s="216"/>
      <c r="H62" s="216"/>
      <c r="I62" s="216"/>
      <c r="J62" s="216"/>
      <c r="K62" s="216"/>
      <c r="L62" s="216"/>
      <c r="M62" s="216"/>
      <c r="N62" s="216"/>
      <c r="O62" s="216"/>
      <c r="P62" s="216"/>
      <c r="Q62" s="216"/>
      <c r="R62" s="216"/>
      <c r="S62" s="216"/>
      <c r="T62" s="216"/>
      <c r="U62" s="216"/>
      <c r="V62" s="216"/>
      <c r="W62" s="216"/>
      <c r="X62" s="216"/>
      <c r="Y62" s="216"/>
      <c r="Z62" s="216"/>
      <c r="AA62" s="216"/>
      <c r="AB62" s="216"/>
      <c r="AC62" s="216"/>
      <c r="AD62" s="216"/>
      <c r="AE62" s="190" t="s">
        <v>102</v>
      </c>
    </row>
    <row r="63" spans="1:31" ht="18" customHeight="1">
      <c r="B63" s="216"/>
      <c r="C63" s="216"/>
      <c r="D63" s="216"/>
      <c r="E63" s="216"/>
      <c r="F63" s="216"/>
      <c r="G63" s="216"/>
      <c r="H63" s="216"/>
      <c r="I63" s="216"/>
      <c r="J63" s="216"/>
      <c r="K63" s="216"/>
      <c r="L63" s="216"/>
      <c r="M63" s="216"/>
      <c r="N63" s="216"/>
      <c r="O63" s="216"/>
      <c r="P63" s="216"/>
      <c r="Q63" s="216"/>
      <c r="R63" s="216"/>
      <c r="S63" s="216"/>
      <c r="T63" s="216"/>
      <c r="U63" s="216"/>
      <c r="V63" s="216"/>
      <c r="W63" s="216"/>
      <c r="X63" s="188"/>
      <c r="Y63" s="200"/>
      <c r="Z63" s="200"/>
      <c r="AA63" s="200"/>
      <c r="AB63" s="200"/>
      <c r="AC63" s="200"/>
      <c r="AD63" s="200"/>
      <c r="AE63" s="190"/>
    </row>
    <row r="64" spans="1:31" ht="18" customHeight="1">
      <c r="B64" s="216"/>
      <c r="C64" s="216"/>
      <c r="D64" s="216"/>
      <c r="E64" s="216"/>
      <c r="F64" s="216"/>
      <c r="G64" s="216"/>
      <c r="H64" s="216"/>
      <c r="I64" s="216"/>
      <c r="J64" s="216"/>
      <c r="K64" s="216"/>
      <c r="L64" s="216"/>
      <c r="M64" s="216"/>
      <c r="N64" s="216"/>
      <c r="O64" s="216"/>
      <c r="P64" s="216"/>
      <c r="Q64" s="216"/>
      <c r="R64" s="200"/>
      <c r="S64" s="200"/>
      <c r="T64" s="200"/>
      <c r="U64" s="200"/>
      <c r="V64" s="200"/>
      <c r="W64" s="200"/>
      <c r="X64" s="200"/>
      <c r="Y64" s="200"/>
      <c r="Z64" s="200"/>
      <c r="AA64" s="200"/>
      <c r="AB64" s="200"/>
      <c r="AC64" s="200"/>
      <c r="AD64" s="200"/>
      <c r="AE64" s="190"/>
    </row>
    <row r="65" spans="2:31" ht="18" customHeight="1">
      <c r="B65" s="216"/>
      <c r="C65" s="217"/>
      <c r="D65" s="217"/>
      <c r="E65" s="217"/>
      <c r="F65" s="217"/>
      <c r="G65" s="217"/>
      <c r="H65" s="217"/>
      <c r="I65" s="217"/>
      <c r="J65" s="217"/>
      <c r="K65" s="217"/>
      <c r="L65" s="217"/>
      <c r="M65" s="217"/>
      <c r="N65" s="217"/>
      <c r="O65" s="217"/>
      <c r="P65" s="217"/>
      <c r="Q65" s="217"/>
      <c r="R65" s="200"/>
      <c r="S65" s="200"/>
      <c r="T65" s="200"/>
      <c r="U65" s="200"/>
      <c r="V65" s="200"/>
      <c r="W65" s="200"/>
      <c r="X65" s="200"/>
      <c r="Y65" s="200"/>
      <c r="Z65" s="200"/>
      <c r="AA65" s="200"/>
      <c r="AB65" s="200"/>
      <c r="AC65" s="200"/>
      <c r="AD65" s="188"/>
      <c r="AE65" s="190"/>
    </row>
    <row r="66" spans="2:31" ht="18">
      <c r="B66" s="201"/>
      <c r="C66" s="195"/>
      <c r="D66" s="195"/>
      <c r="E66" s="195"/>
      <c r="F66" s="195"/>
      <c r="G66" s="195"/>
      <c r="H66" s="195"/>
      <c r="I66" s="195"/>
      <c r="J66" s="195"/>
      <c r="K66" s="195"/>
      <c r="L66" s="195"/>
      <c r="M66" s="195"/>
      <c r="N66" s="195"/>
      <c r="O66" s="195"/>
      <c r="P66" s="195"/>
      <c r="Q66" s="195"/>
      <c r="R66" s="200"/>
      <c r="S66" s="200"/>
      <c r="T66" s="200"/>
      <c r="U66" s="200"/>
      <c r="V66" s="200"/>
      <c r="W66" s="200"/>
      <c r="X66" s="200"/>
      <c r="Y66" s="200"/>
      <c r="Z66" s="200"/>
      <c r="AA66" s="200"/>
      <c r="AB66" s="200"/>
      <c r="AC66" s="200"/>
      <c r="AD66" s="188"/>
      <c r="AE66" s="190"/>
    </row>
    <row r="67" spans="2:31">
      <c r="B67" s="201"/>
      <c r="C67" s="202"/>
      <c r="D67" s="202"/>
      <c r="E67" s="203"/>
      <c r="F67" s="203"/>
      <c r="G67" s="203"/>
      <c r="H67" s="203"/>
      <c r="I67" s="203"/>
      <c r="J67" s="203"/>
      <c r="K67" s="203"/>
      <c r="L67" s="203"/>
      <c r="M67" s="203"/>
      <c r="N67" s="203"/>
      <c r="O67" s="203"/>
      <c r="P67" s="203"/>
      <c r="Q67" s="202"/>
      <c r="R67" s="202"/>
      <c r="S67" s="202"/>
      <c r="T67" s="202"/>
      <c r="U67" s="202"/>
      <c r="V67" s="202"/>
      <c r="W67" s="202"/>
      <c r="X67" s="202"/>
      <c r="Y67" s="202"/>
      <c r="Z67" s="202"/>
      <c r="AA67" s="202"/>
      <c r="AB67" s="202" t="s">
        <v>102</v>
      </c>
      <c r="AC67" s="202"/>
      <c r="AD67" s="202"/>
      <c r="AE67" s="202"/>
    </row>
    <row r="68" spans="2:31">
      <c r="B68" s="204"/>
      <c r="C68" s="202"/>
      <c r="D68" s="202"/>
      <c r="E68" s="203"/>
      <c r="F68" s="203"/>
      <c r="G68" s="203"/>
      <c r="H68" s="203"/>
      <c r="I68" s="203"/>
      <c r="J68" s="203"/>
      <c r="K68" s="203"/>
      <c r="L68" s="203"/>
      <c r="M68" s="203"/>
      <c r="N68" s="203"/>
      <c r="O68" s="203"/>
      <c r="P68" s="203"/>
      <c r="Q68" s="202"/>
      <c r="R68" s="202"/>
      <c r="S68" s="202"/>
      <c r="T68" s="202"/>
      <c r="U68" s="202"/>
      <c r="V68" s="202"/>
      <c r="W68" s="202"/>
      <c r="X68" s="202"/>
      <c r="Y68" s="202"/>
      <c r="Z68" s="202"/>
      <c r="AA68" s="202"/>
      <c r="AB68" s="202"/>
      <c r="AC68" s="202"/>
      <c r="AD68" s="202"/>
      <c r="AE68" s="202"/>
    </row>
    <row r="69" spans="2:31" ht="16" customHeight="1">
      <c r="B69" s="214"/>
      <c r="C69" s="214"/>
      <c r="D69" s="214"/>
      <c r="E69" s="214"/>
      <c r="F69" s="214"/>
      <c r="G69" s="214"/>
      <c r="H69" s="214"/>
      <c r="I69" s="214"/>
      <c r="J69" s="214"/>
      <c r="K69" s="214"/>
      <c r="L69" s="214"/>
      <c r="M69" s="214"/>
      <c r="N69" s="214"/>
      <c r="O69" s="214"/>
      <c r="P69" s="214"/>
      <c r="Q69" s="214"/>
      <c r="R69" s="214"/>
      <c r="S69" s="214"/>
      <c r="T69" s="214"/>
      <c r="U69" s="214"/>
      <c r="V69" s="214"/>
      <c r="W69" s="214"/>
      <c r="X69" s="214"/>
      <c r="Y69" s="214"/>
      <c r="Z69" s="214"/>
      <c r="AA69" s="214"/>
      <c r="AB69" s="214"/>
      <c r="AC69" s="214"/>
      <c r="AD69" s="214"/>
      <c r="AE69" s="214"/>
    </row>
    <row r="70" spans="2:31" ht="16" customHeight="1">
      <c r="B70" s="214"/>
      <c r="C70" s="214"/>
      <c r="D70" s="214"/>
      <c r="E70" s="214"/>
      <c r="F70" s="214"/>
      <c r="G70" s="214"/>
      <c r="H70" s="214"/>
      <c r="I70" s="214"/>
      <c r="J70" s="214"/>
      <c r="K70" s="214"/>
      <c r="L70" s="214"/>
      <c r="M70" s="214"/>
      <c r="N70" s="214"/>
      <c r="O70" s="214"/>
      <c r="P70" s="214"/>
      <c r="Q70" s="214"/>
      <c r="R70" s="214"/>
      <c r="S70" s="214"/>
      <c r="T70" s="214"/>
      <c r="U70" s="214"/>
      <c r="V70" s="214"/>
      <c r="W70" s="214"/>
      <c r="X70" s="214"/>
      <c r="Y70" s="214"/>
      <c r="Z70" s="214"/>
      <c r="AA70" s="214"/>
      <c r="AB70" s="214"/>
      <c r="AC70" s="214"/>
      <c r="AD70" s="214"/>
      <c r="AE70" s="214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94C53-03B2-ED4E-B8F4-1A23EA1824AD}">
  <dimension ref="A3:M69"/>
  <sheetViews>
    <sheetView tabSelected="1" topLeftCell="A43" zoomScale="25" zoomScaleNormal="25" workbookViewId="0">
      <selection activeCell="AV86" sqref="AV86"/>
    </sheetView>
  </sheetViews>
  <sheetFormatPr baseColWidth="10" defaultRowHeight="16"/>
  <cols>
    <col min="1" max="1" width="43.6640625" bestFit="1" customWidth="1"/>
    <col min="2" max="2" width="13.33203125" bestFit="1" customWidth="1"/>
    <col min="3" max="3" width="14.33203125" bestFit="1" customWidth="1"/>
    <col min="4" max="4" width="12.33203125" bestFit="1" customWidth="1"/>
    <col min="5" max="5" width="11" bestFit="1" customWidth="1"/>
    <col min="6" max="6" width="10.5" bestFit="1" customWidth="1"/>
    <col min="7" max="7" width="10.83203125" bestFit="1" customWidth="1"/>
    <col min="8" max="8" width="10.1640625" bestFit="1" customWidth="1"/>
    <col min="9" max="9" width="13" bestFit="1" customWidth="1"/>
    <col min="10" max="10" width="16.33203125" bestFit="1" customWidth="1"/>
    <col min="11" max="11" width="13.83203125" bestFit="1" customWidth="1"/>
    <col min="12" max="12" width="15.6640625" bestFit="1" customWidth="1"/>
    <col min="13" max="13" width="15.83203125" bestFit="1" customWidth="1"/>
    <col min="14" max="14" width="16" bestFit="1" customWidth="1"/>
  </cols>
  <sheetData>
    <row r="3" spans="1:13">
      <c r="A3" s="222" t="s">
        <v>105</v>
      </c>
      <c r="B3" t="s">
        <v>109</v>
      </c>
      <c r="C3" t="s">
        <v>110</v>
      </c>
      <c r="D3" t="s">
        <v>111</v>
      </c>
      <c r="E3" t="s">
        <v>112</v>
      </c>
      <c r="F3" t="s">
        <v>113</v>
      </c>
      <c r="G3" t="s">
        <v>114</v>
      </c>
      <c r="H3" t="s">
        <v>115</v>
      </c>
      <c r="I3" t="s">
        <v>116</v>
      </c>
      <c r="J3" t="s">
        <v>117</v>
      </c>
      <c r="K3" t="s">
        <v>118</v>
      </c>
      <c r="L3" t="s">
        <v>119</v>
      </c>
      <c r="M3" t="s">
        <v>120</v>
      </c>
    </row>
    <row r="4" spans="1:13">
      <c r="A4" s="223" t="s">
        <v>76</v>
      </c>
      <c r="B4" s="225">
        <v>0</v>
      </c>
      <c r="C4" s="225">
        <v>5</v>
      </c>
      <c r="D4" s="225">
        <v>0</v>
      </c>
      <c r="E4" s="225">
        <v>1</v>
      </c>
      <c r="F4" s="225">
        <v>17</v>
      </c>
      <c r="G4" s="225">
        <v>40</v>
      </c>
      <c r="H4" s="225">
        <v>49</v>
      </c>
      <c r="I4" s="225">
        <v>58</v>
      </c>
      <c r="J4" s="225">
        <v>39</v>
      </c>
      <c r="K4" s="225">
        <v>33</v>
      </c>
      <c r="L4" s="225">
        <v>8</v>
      </c>
      <c r="M4" s="225">
        <v>4</v>
      </c>
    </row>
    <row r="5" spans="1:13">
      <c r="A5" s="224" t="s">
        <v>79</v>
      </c>
      <c r="B5" s="225">
        <v>0</v>
      </c>
      <c r="C5" s="225">
        <v>0</v>
      </c>
      <c r="D5" s="225">
        <v>0</v>
      </c>
      <c r="E5" s="225">
        <v>0</v>
      </c>
      <c r="F5" s="225">
        <v>0</v>
      </c>
      <c r="G5" s="225">
        <v>1</v>
      </c>
      <c r="H5" s="225">
        <v>1</v>
      </c>
      <c r="I5" s="225">
        <v>0</v>
      </c>
      <c r="J5" s="225">
        <v>0</v>
      </c>
      <c r="K5" s="225">
        <v>1</v>
      </c>
      <c r="L5" s="225">
        <v>0</v>
      </c>
      <c r="M5" s="225">
        <v>0</v>
      </c>
    </row>
    <row r="6" spans="1:13">
      <c r="A6" s="224" t="s">
        <v>81</v>
      </c>
      <c r="B6" s="225">
        <v>0</v>
      </c>
      <c r="C6" s="225">
        <v>0</v>
      </c>
      <c r="D6" s="225">
        <v>0</v>
      </c>
      <c r="E6" s="225">
        <v>0</v>
      </c>
      <c r="F6" s="225">
        <v>0</v>
      </c>
      <c r="G6" s="225">
        <v>0</v>
      </c>
      <c r="H6" s="225">
        <v>0</v>
      </c>
      <c r="I6" s="225">
        <v>1</v>
      </c>
      <c r="J6" s="225">
        <v>0</v>
      </c>
      <c r="K6" s="225">
        <v>0</v>
      </c>
      <c r="L6" s="225">
        <v>0</v>
      </c>
      <c r="M6" s="225">
        <v>1</v>
      </c>
    </row>
    <row r="7" spans="1:13">
      <c r="A7" s="224" t="s">
        <v>82</v>
      </c>
      <c r="B7" s="225">
        <v>0</v>
      </c>
      <c r="C7" s="225">
        <v>4</v>
      </c>
      <c r="D7" s="225">
        <v>0</v>
      </c>
      <c r="E7" s="225">
        <v>1</v>
      </c>
      <c r="F7" s="225">
        <v>15</v>
      </c>
      <c r="G7" s="225">
        <v>37</v>
      </c>
      <c r="H7" s="225">
        <v>41</v>
      </c>
      <c r="I7" s="225">
        <v>49</v>
      </c>
      <c r="J7" s="225">
        <v>35</v>
      </c>
      <c r="K7" s="225">
        <v>30</v>
      </c>
      <c r="L7" s="225">
        <v>7</v>
      </c>
      <c r="M7" s="225">
        <v>2</v>
      </c>
    </row>
    <row r="8" spans="1:13">
      <c r="A8" s="224" t="s">
        <v>84</v>
      </c>
      <c r="B8" s="225">
        <v>0</v>
      </c>
      <c r="C8" s="225">
        <v>0</v>
      </c>
      <c r="D8" s="225">
        <v>0</v>
      </c>
      <c r="E8" s="225">
        <v>0</v>
      </c>
      <c r="F8" s="225">
        <v>1</v>
      </c>
      <c r="G8" s="225">
        <v>0</v>
      </c>
      <c r="H8" s="225">
        <v>2</v>
      </c>
      <c r="I8" s="225">
        <v>1</v>
      </c>
      <c r="J8" s="225">
        <v>0</v>
      </c>
      <c r="K8" s="225">
        <v>0</v>
      </c>
      <c r="L8" s="225">
        <v>0</v>
      </c>
      <c r="M8" s="225">
        <v>1</v>
      </c>
    </row>
    <row r="9" spans="1:13">
      <c r="A9" s="224" t="s">
        <v>85</v>
      </c>
      <c r="B9" s="225">
        <v>0</v>
      </c>
      <c r="C9" s="225">
        <v>0</v>
      </c>
      <c r="D9" s="225">
        <v>0</v>
      </c>
      <c r="E9" s="225">
        <v>0</v>
      </c>
      <c r="F9" s="225">
        <v>0</v>
      </c>
      <c r="G9" s="225">
        <v>0</v>
      </c>
      <c r="H9" s="225">
        <v>0</v>
      </c>
      <c r="I9" s="225">
        <v>0</v>
      </c>
      <c r="J9" s="225">
        <v>0</v>
      </c>
      <c r="K9" s="225">
        <v>0</v>
      </c>
      <c r="L9" s="225">
        <v>0</v>
      </c>
      <c r="M9" s="225">
        <v>0</v>
      </c>
    </row>
    <row r="10" spans="1:13">
      <c r="A10" s="224" t="s">
        <v>86</v>
      </c>
      <c r="B10" s="225">
        <v>0</v>
      </c>
      <c r="C10" s="225">
        <v>0</v>
      </c>
      <c r="D10" s="225">
        <v>0</v>
      </c>
      <c r="E10" s="225">
        <v>0</v>
      </c>
      <c r="F10" s="225">
        <v>0</v>
      </c>
      <c r="G10" s="225">
        <v>0</v>
      </c>
      <c r="H10" s="225">
        <v>0</v>
      </c>
      <c r="I10" s="225">
        <v>0</v>
      </c>
      <c r="J10" s="225">
        <v>0</v>
      </c>
      <c r="K10" s="225">
        <v>0</v>
      </c>
      <c r="L10" s="225">
        <v>0</v>
      </c>
      <c r="M10" s="225">
        <v>0</v>
      </c>
    </row>
    <row r="11" spans="1:13">
      <c r="A11" s="224" t="s">
        <v>87</v>
      </c>
      <c r="B11" s="225">
        <v>0</v>
      </c>
      <c r="C11" s="225">
        <v>1</v>
      </c>
      <c r="D11" s="225">
        <v>0</v>
      </c>
      <c r="E11" s="225">
        <v>0</v>
      </c>
      <c r="F11" s="225">
        <v>1</v>
      </c>
      <c r="G11" s="225">
        <v>0</v>
      </c>
      <c r="H11" s="225">
        <v>1</v>
      </c>
      <c r="I11" s="225">
        <v>6</v>
      </c>
      <c r="J11" s="225">
        <v>4</v>
      </c>
      <c r="K11" s="225">
        <v>1</v>
      </c>
      <c r="L11" s="225">
        <v>0</v>
      </c>
      <c r="M11" s="225">
        <v>0</v>
      </c>
    </row>
    <row r="12" spans="1:13">
      <c r="A12" s="224" t="s">
        <v>124</v>
      </c>
      <c r="B12" s="225">
        <v>0</v>
      </c>
      <c r="C12" s="225">
        <v>0</v>
      </c>
      <c r="D12" s="225">
        <v>0</v>
      </c>
      <c r="E12" s="225">
        <v>0</v>
      </c>
      <c r="F12" s="225">
        <v>0</v>
      </c>
      <c r="G12" s="225">
        <v>2</v>
      </c>
      <c r="H12" s="225">
        <v>4</v>
      </c>
      <c r="I12" s="225">
        <v>1</v>
      </c>
      <c r="J12" s="225">
        <v>0</v>
      </c>
      <c r="K12" s="225">
        <v>1</v>
      </c>
      <c r="L12" s="225">
        <v>1</v>
      </c>
      <c r="M12" s="225">
        <v>0</v>
      </c>
    </row>
    <row r="13" spans="1:13">
      <c r="A13" s="223" t="s">
        <v>50</v>
      </c>
      <c r="B13" s="225">
        <v>3977</v>
      </c>
      <c r="C13" s="225">
        <v>1458</v>
      </c>
      <c r="D13" s="225">
        <v>983</v>
      </c>
      <c r="E13" s="225">
        <v>875</v>
      </c>
      <c r="F13" s="225">
        <v>1250</v>
      </c>
      <c r="G13" s="225">
        <v>137</v>
      </c>
      <c r="H13" s="225">
        <v>145</v>
      </c>
      <c r="I13" s="225">
        <v>123</v>
      </c>
      <c r="J13" s="225">
        <v>150</v>
      </c>
      <c r="K13" s="225">
        <v>136</v>
      </c>
      <c r="L13" s="225">
        <v>151</v>
      </c>
      <c r="M13" s="225">
        <v>837</v>
      </c>
    </row>
    <row r="14" spans="1:13">
      <c r="A14" s="224" t="s">
        <v>51</v>
      </c>
      <c r="B14" s="225">
        <v>0</v>
      </c>
      <c r="C14" s="225">
        <v>0</v>
      </c>
      <c r="D14" s="225">
        <v>0</v>
      </c>
      <c r="E14" s="225">
        <v>0</v>
      </c>
      <c r="F14" s="225">
        <v>0</v>
      </c>
      <c r="G14" s="225">
        <v>0</v>
      </c>
      <c r="H14" s="225">
        <v>0</v>
      </c>
      <c r="I14" s="225">
        <v>1</v>
      </c>
      <c r="J14" s="225">
        <v>0</v>
      </c>
      <c r="K14" s="225">
        <v>0</v>
      </c>
      <c r="L14" s="225">
        <v>0</v>
      </c>
      <c r="M14" s="225">
        <v>0</v>
      </c>
    </row>
    <row r="15" spans="1:13">
      <c r="A15" s="224" t="s">
        <v>52</v>
      </c>
      <c r="B15" s="225">
        <v>0</v>
      </c>
      <c r="C15" s="225">
        <v>0</v>
      </c>
      <c r="D15" s="225">
        <v>0</v>
      </c>
      <c r="E15" s="225">
        <v>1</v>
      </c>
      <c r="F15" s="225">
        <v>2</v>
      </c>
      <c r="G15" s="225">
        <v>9</v>
      </c>
      <c r="H15" s="225">
        <v>6</v>
      </c>
      <c r="I15" s="225">
        <v>1</v>
      </c>
      <c r="J15" s="225">
        <v>7</v>
      </c>
      <c r="K15" s="225">
        <v>10</v>
      </c>
      <c r="L15" s="225">
        <v>6</v>
      </c>
      <c r="M15" s="225">
        <v>4</v>
      </c>
    </row>
    <row r="16" spans="1:13">
      <c r="A16" s="224" t="s">
        <v>53</v>
      </c>
      <c r="B16" s="225">
        <v>39</v>
      </c>
      <c r="C16" s="225">
        <v>18</v>
      </c>
      <c r="D16" s="225">
        <v>15</v>
      </c>
      <c r="E16" s="225">
        <v>47</v>
      </c>
      <c r="F16" s="225">
        <v>54</v>
      </c>
      <c r="G16" s="225">
        <v>33</v>
      </c>
      <c r="H16" s="225">
        <v>9</v>
      </c>
      <c r="I16" s="225">
        <v>18</v>
      </c>
      <c r="J16" s="225">
        <v>30</v>
      </c>
      <c r="K16" s="225">
        <v>39</v>
      </c>
      <c r="L16" s="225">
        <v>36</v>
      </c>
      <c r="M16" s="225">
        <v>29</v>
      </c>
    </row>
    <row r="17" spans="1:13">
      <c r="A17" s="224" t="s">
        <v>55</v>
      </c>
      <c r="B17" s="225">
        <v>0</v>
      </c>
      <c r="C17" s="225">
        <v>0</v>
      </c>
      <c r="D17" s="225">
        <v>0</v>
      </c>
      <c r="E17" s="225">
        <v>0</v>
      </c>
      <c r="F17" s="225">
        <v>0</v>
      </c>
      <c r="G17" s="225">
        <v>0</v>
      </c>
      <c r="H17" s="225">
        <v>0</v>
      </c>
      <c r="I17" s="225">
        <v>1</v>
      </c>
      <c r="J17" s="225">
        <v>0</v>
      </c>
      <c r="K17" s="225">
        <v>0</v>
      </c>
      <c r="L17" s="225">
        <v>0</v>
      </c>
      <c r="M17" s="225">
        <v>0</v>
      </c>
    </row>
    <row r="18" spans="1:13">
      <c r="A18" s="224" t="s">
        <v>106</v>
      </c>
      <c r="B18" s="225">
        <v>8</v>
      </c>
      <c r="C18" s="225">
        <v>3</v>
      </c>
      <c r="D18" s="225">
        <v>5</v>
      </c>
      <c r="E18" s="225">
        <v>3</v>
      </c>
      <c r="F18" s="225">
        <v>5</v>
      </c>
      <c r="G18" s="225">
        <v>3</v>
      </c>
      <c r="H18" s="225">
        <v>2</v>
      </c>
      <c r="I18" s="225">
        <v>2</v>
      </c>
      <c r="J18" s="225">
        <v>4</v>
      </c>
      <c r="K18" s="225">
        <v>2</v>
      </c>
      <c r="L18" s="225">
        <v>5</v>
      </c>
      <c r="M18" s="225">
        <v>4</v>
      </c>
    </row>
    <row r="19" spans="1:13">
      <c r="A19" s="224" t="s">
        <v>57</v>
      </c>
      <c r="B19" s="225">
        <v>1575</v>
      </c>
      <c r="C19" s="225">
        <v>747</v>
      </c>
      <c r="D19" s="225">
        <v>579</v>
      </c>
      <c r="E19" s="225">
        <v>351</v>
      </c>
      <c r="F19" s="225">
        <v>130</v>
      </c>
      <c r="G19" s="225">
        <v>37</v>
      </c>
      <c r="H19" s="225">
        <v>42</v>
      </c>
      <c r="I19" s="225">
        <v>7</v>
      </c>
      <c r="J19" s="225">
        <v>36</v>
      </c>
      <c r="K19" s="225">
        <v>40</v>
      </c>
      <c r="L19" s="225">
        <v>75</v>
      </c>
      <c r="M19" s="225">
        <v>780</v>
      </c>
    </row>
    <row r="20" spans="1:13">
      <c r="A20" s="224" t="s">
        <v>58</v>
      </c>
      <c r="B20" s="225">
        <v>0</v>
      </c>
      <c r="C20" s="225">
        <v>1</v>
      </c>
      <c r="D20" s="225">
        <v>2</v>
      </c>
      <c r="E20" s="225">
        <v>3</v>
      </c>
      <c r="F20" s="225">
        <v>1</v>
      </c>
      <c r="G20" s="225">
        <v>1</v>
      </c>
      <c r="H20" s="225">
        <v>0</v>
      </c>
      <c r="I20" s="225">
        <v>1</v>
      </c>
      <c r="J20" s="225">
        <v>0</v>
      </c>
      <c r="K20" s="225">
        <v>0</v>
      </c>
      <c r="L20" s="225">
        <v>0</v>
      </c>
      <c r="M20" s="225">
        <v>1</v>
      </c>
    </row>
    <row r="21" spans="1:13">
      <c r="A21" s="224" t="s">
        <v>61</v>
      </c>
      <c r="B21" s="225">
        <v>2</v>
      </c>
      <c r="C21" s="225">
        <v>2</v>
      </c>
      <c r="D21" s="225">
        <v>3</v>
      </c>
      <c r="E21" s="225">
        <v>2</v>
      </c>
      <c r="F21" s="225">
        <v>0</v>
      </c>
      <c r="G21" s="225">
        <v>0</v>
      </c>
      <c r="H21" s="225">
        <v>0</v>
      </c>
      <c r="I21" s="225">
        <v>0</v>
      </c>
      <c r="J21" s="225">
        <v>0</v>
      </c>
      <c r="K21" s="225">
        <v>0</v>
      </c>
      <c r="L21" s="225">
        <v>2</v>
      </c>
      <c r="M21" s="225">
        <v>0</v>
      </c>
    </row>
    <row r="22" spans="1:13">
      <c r="A22" s="224" t="s">
        <v>62</v>
      </c>
      <c r="B22" s="225">
        <v>14</v>
      </c>
      <c r="C22" s="225">
        <v>0</v>
      </c>
      <c r="D22" s="225">
        <v>2</v>
      </c>
      <c r="E22" s="225">
        <v>9</v>
      </c>
      <c r="F22" s="225">
        <v>15</v>
      </c>
      <c r="G22" s="225">
        <v>24</v>
      </c>
      <c r="H22" s="225">
        <v>36</v>
      </c>
      <c r="I22" s="225">
        <v>48</v>
      </c>
      <c r="J22" s="225">
        <v>40</v>
      </c>
      <c r="K22" s="225">
        <v>22</v>
      </c>
      <c r="L22" s="225">
        <v>12</v>
      </c>
      <c r="M22" s="225">
        <v>12</v>
      </c>
    </row>
    <row r="23" spans="1:13">
      <c r="A23" s="224" t="s">
        <v>129</v>
      </c>
      <c r="B23" s="225">
        <v>2334</v>
      </c>
      <c r="C23" s="225">
        <v>672</v>
      </c>
      <c r="D23" s="225">
        <v>372</v>
      </c>
      <c r="E23" s="225">
        <v>452</v>
      </c>
      <c r="F23" s="225">
        <v>1032</v>
      </c>
      <c r="G23" s="225">
        <v>8</v>
      </c>
      <c r="H23" s="225">
        <v>0</v>
      </c>
      <c r="I23" s="225">
        <v>0</v>
      </c>
      <c r="J23" s="225">
        <v>0</v>
      </c>
      <c r="K23" s="225">
        <v>0</v>
      </c>
      <c r="L23" s="225">
        <v>0</v>
      </c>
      <c r="M23" s="225">
        <v>0</v>
      </c>
    </row>
    <row r="24" spans="1:13">
      <c r="A24" s="224" t="s">
        <v>126</v>
      </c>
      <c r="B24" s="225">
        <v>5</v>
      </c>
      <c r="C24" s="225">
        <v>15</v>
      </c>
      <c r="D24" s="225">
        <v>5</v>
      </c>
      <c r="E24" s="225">
        <v>7</v>
      </c>
      <c r="F24" s="225">
        <v>11</v>
      </c>
      <c r="G24" s="225">
        <v>22</v>
      </c>
      <c r="H24" s="225">
        <v>50</v>
      </c>
      <c r="I24" s="225">
        <v>44</v>
      </c>
      <c r="J24" s="225">
        <v>33</v>
      </c>
      <c r="K24" s="225">
        <v>23</v>
      </c>
      <c r="L24" s="225">
        <v>15</v>
      </c>
      <c r="M24" s="225">
        <v>7</v>
      </c>
    </row>
    <row r="25" spans="1:13">
      <c r="A25" s="223" t="s">
        <v>16</v>
      </c>
      <c r="B25" s="225">
        <v>2425</v>
      </c>
      <c r="C25" s="225">
        <v>2143</v>
      </c>
      <c r="D25" s="225">
        <v>2032</v>
      </c>
      <c r="E25" s="225">
        <v>2080</v>
      </c>
      <c r="F25" s="225">
        <v>2092</v>
      </c>
      <c r="G25" s="225">
        <v>1908</v>
      </c>
      <c r="H25" s="225">
        <v>2145</v>
      </c>
      <c r="I25" s="225">
        <v>2090</v>
      </c>
      <c r="J25" s="225">
        <v>2042</v>
      </c>
      <c r="K25" s="225">
        <v>2242</v>
      </c>
      <c r="L25" s="225">
        <v>1973</v>
      </c>
      <c r="M25" s="225">
        <v>1593</v>
      </c>
    </row>
    <row r="26" spans="1:13">
      <c r="A26" s="224" t="s">
        <v>17</v>
      </c>
      <c r="B26" s="225">
        <v>0</v>
      </c>
      <c r="C26" s="225">
        <v>2</v>
      </c>
      <c r="D26" s="225">
        <v>0</v>
      </c>
      <c r="E26" s="225">
        <v>1</v>
      </c>
      <c r="F26" s="225">
        <v>0</v>
      </c>
      <c r="G26" s="225">
        <v>1</v>
      </c>
      <c r="H26" s="225">
        <v>0</v>
      </c>
      <c r="I26" s="225">
        <v>1</v>
      </c>
      <c r="J26" s="225">
        <v>1</v>
      </c>
      <c r="K26" s="225">
        <v>1</v>
      </c>
      <c r="L26" s="225">
        <v>1</v>
      </c>
      <c r="M26" s="225">
        <v>0</v>
      </c>
    </row>
    <row r="27" spans="1:13">
      <c r="A27" s="224" t="s">
        <v>19</v>
      </c>
      <c r="B27" s="225">
        <v>1411</v>
      </c>
      <c r="C27" s="225">
        <v>1239</v>
      </c>
      <c r="D27" s="225">
        <v>1153</v>
      </c>
      <c r="E27" s="225">
        <v>1204</v>
      </c>
      <c r="F27" s="225">
        <v>1203</v>
      </c>
      <c r="G27" s="225">
        <v>1035</v>
      </c>
      <c r="H27" s="225">
        <v>1153</v>
      </c>
      <c r="I27" s="225">
        <v>1125</v>
      </c>
      <c r="J27" s="225">
        <v>1113</v>
      </c>
      <c r="K27" s="225">
        <v>1241</v>
      </c>
      <c r="L27" s="225">
        <v>1134</v>
      </c>
      <c r="M27" s="225">
        <v>934</v>
      </c>
    </row>
    <row r="28" spans="1:13">
      <c r="A28" s="224" t="s">
        <v>21</v>
      </c>
      <c r="B28" s="225">
        <v>669</v>
      </c>
      <c r="C28" s="225">
        <v>556</v>
      </c>
      <c r="D28" s="225">
        <v>495</v>
      </c>
      <c r="E28" s="225">
        <v>542</v>
      </c>
      <c r="F28" s="225">
        <v>549</v>
      </c>
      <c r="G28" s="225">
        <v>539</v>
      </c>
      <c r="H28" s="225">
        <v>697</v>
      </c>
      <c r="I28" s="225">
        <v>667</v>
      </c>
      <c r="J28" s="225">
        <v>632</v>
      </c>
      <c r="K28" s="225">
        <v>696</v>
      </c>
      <c r="L28" s="225">
        <v>574</v>
      </c>
      <c r="M28" s="225">
        <v>452</v>
      </c>
    </row>
    <row r="29" spans="1:13">
      <c r="A29" s="224" t="s">
        <v>23</v>
      </c>
      <c r="B29" s="225">
        <v>49</v>
      </c>
      <c r="C29" s="225">
        <v>53</v>
      </c>
      <c r="D29" s="225">
        <v>58</v>
      </c>
      <c r="E29" s="225">
        <v>44</v>
      </c>
      <c r="F29" s="225">
        <v>33</v>
      </c>
      <c r="G29" s="225">
        <v>48</v>
      </c>
      <c r="H29" s="225">
        <v>41</v>
      </c>
      <c r="I29" s="225">
        <v>40</v>
      </c>
      <c r="J29" s="225">
        <v>43</v>
      </c>
      <c r="K29" s="225">
        <v>42</v>
      </c>
      <c r="L29" s="225">
        <v>46</v>
      </c>
      <c r="M29" s="225">
        <v>28</v>
      </c>
    </row>
    <row r="30" spans="1:13">
      <c r="A30" s="224" t="s">
        <v>22</v>
      </c>
      <c r="B30" s="225">
        <v>0</v>
      </c>
      <c r="C30" s="225">
        <v>1</v>
      </c>
      <c r="D30" s="225">
        <v>3</v>
      </c>
      <c r="E30" s="225">
        <v>1</v>
      </c>
      <c r="F30" s="225">
        <v>0</v>
      </c>
      <c r="G30" s="225">
        <v>0</v>
      </c>
      <c r="H30" s="225">
        <v>1</v>
      </c>
      <c r="I30" s="225">
        <v>1</v>
      </c>
      <c r="J30" s="225">
        <v>1</v>
      </c>
      <c r="K30" s="225">
        <v>1</v>
      </c>
      <c r="L30" s="225">
        <v>1</v>
      </c>
      <c r="M30" s="225">
        <v>0</v>
      </c>
    </row>
    <row r="31" spans="1:13">
      <c r="A31" s="224" t="s">
        <v>25</v>
      </c>
      <c r="B31" s="225">
        <v>46</v>
      </c>
      <c r="C31" s="225">
        <v>45</v>
      </c>
      <c r="D31" s="225">
        <v>52</v>
      </c>
      <c r="E31" s="225">
        <v>41</v>
      </c>
      <c r="F31" s="225">
        <v>52</v>
      </c>
      <c r="G31" s="225">
        <v>41</v>
      </c>
      <c r="H31" s="225">
        <v>30</v>
      </c>
      <c r="I31" s="225">
        <v>47</v>
      </c>
      <c r="J31" s="225">
        <v>35</v>
      </c>
      <c r="K31" s="225">
        <v>40</v>
      </c>
      <c r="L31" s="225">
        <v>31</v>
      </c>
      <c r="M31" s="225">
        <v>10</v>
      </c>
    </row>
    <row r="32" spans="1:13">
      <c r="A32" s="224" t="s">
        <v>107</v>
      </c>
      <c r="B32" s="225">
        <v>48</v>
      </c>
      <c r="C32" s="225">
        <v>37</v>
      </c>
      <c r="D32" s="225">
        <v>53</v>
      </c>
      <c r="E32" s="225">
        <v>46</v>
      </c>
      <c r="F32" s="225">
        <v>28</v>
      </c>
      <c r="G32" s="225">
        <v>28</v>
      </c>
      <c r="H32" s="225">
        <v>43</v>
      </c>
      <c r="I32" s="225">
        <v>33</v>
      </c>
      <c r="J32" s="225">
        <v>28</v>
      </c>
      <c r="K32" s="225">
        <v>41</v>
      </c>
      <c r="L32" s="225">
        <v>29</v>
      </c>
      <c r="M32" s="225">
        <v>29</v>
      </c>
    </row>
    <row r="33" spans="1:13">
      <c r="A33" s="224" t="s">
        <v>26</v>
      </c>
      <c r="B33" s="225">
        <v>0</v>
      </c>
      <c r="C33" s="225">
        <v>0</v>
      </c>
      <c r="D33" s="225">
        <v>1</v>
      </c>
      <c r="E33" s="225">
        <v>0</v>
      </c>
      <c r="F33" s="225">
        <v>1</v>
      </c>
      <c r="G33" s="225">
        <v>0</v>
      </c>
      <c r="H33" s="225">
        <v>0</v>
      </c>
      <c r="I33" s="225">
        <v>0</v>
      </c>
      <c r="J33" s="225">
        <v>0</v>
      </c>
      <c r="K33" s="225">
        <v>0</v>
      </c>
      <c r="L33" s="225">
        <v>0</v>
      </c>
      <c r="M33" s="225">
        <v>0</v>
      </c>
    </row>
    <row r="34" spans="1:13">
      <c r="A34" s="224" t="s">
        <v>28</v>
      </c>
      <c r="B34" s="225">
        <v>0</v>
      </c>
      <c r="C34" s="225">
        <v>0</v>
      </c>
      <c r="D34" s="225">
        <v>2</v>
      </c>
      <c r="E34" s="225">
        <v>0</v>
      </c>
      <c r="F34" s="225">
        <v>0</v>
      </c>
      <c r="G34" s="225">
        <v>2</v>
      </c>
      <c r="H34" s="225">
        <v>0</v>
      </c>
      <c r="I34" s="225">
        <v>0</v>
      </c>
      <c r="J34" s="225">
        <v>0</v>
      </c>
      <c r="K34" s="225">
        <v>0</v>
      </c>
      <c r="L34" s="225">
        <v>0</v>
      </c>
      <c r="M34" s="225">
        <v>0</v>
      </c>
    </row>
    <row r="35" spans="1:13">
      <c r="A35" s="224" t="s">
        <v>29</v>
      </c>
      <c r="B35" s="225">
        <v>119</v>
      </c>
      <c r="C35" s="225">
        <v>113</v>
      </c>
      <c r="D35" s="225">
        <v>108</v>
      </c>
      <c r="E35" s="225">
        <v>104</v>
      </c>
      <c r="F35" s="225">
        <v>117</v>
      </c>
      <c r="G35" s="225">
        <v>113</v>
      </c>
      <c r="H35" s="225">
        <v>90</v>
      </c>
      <c r="I35" s="225">
        <v>81</v>
      </c>
      <c r="J35" s="225">
        <v>90</v>
      </c>
      <c r="K35" s="225">
        <v>82</v>
      </c>
      <c r="L35" s="225">
        <v>82</v>
      </c>
      <c r="M35" s="225">
        <v>63</v>
      </c>
    </row>
    <row r="36" spans="1:13">
      <c r="A36" s="224" t="s">
        <v>127</v>
      </c>
      <c r="B36" s="225">
        <v>26</v>
      </c>
      <c r="C36" s="225">
        <v>25</v>
      </c>
      <c r="D36" s="225">
        <v>33</v>
      </c>
      <c r="E36" s="225">
        <v>36</v>
      </c>
      <c r="F36" s="225">
        <v>47</v>
      </c>
      <c r="G36" s="225">
        <v>44</v>
      </c>
      <c r="H36" s="225">
        <v>40</v>
      </c>
      <c r="I36" s="225">
        <v>31</v>
      </c>
      <c r="J36" s="225">
        <v>42</v>
      </c>
      <c r="K36" s="225">
        <v>47</v>
      </c>
      <c r="L36" s="225">
        <v>33</v>
      </c>
      <c r="M36" s="225">
        <v>34</v>
      </c>
    </row>
    <row r="37" spans="1:13">
      <c r="A37" s="224" t="s">
        <v>128</v>
      </c>
      <c r="B37" s="225">
        <v>57</v>
      </c>
      <c r="C37" s="225">
        <v>72</v>
      </c>
      <c r="D37" s="225">
        <v>74</v>
      </c>
      <c r="E37" s="225">
        <v>61</v>
      </c>
      <c r="F37" s="225">
        <v>62</v>
      </c>
      <c r="G37" s="225">
        <v>57</v>
      </c>
      <c r="H37" s="225">
        <v>50</v>
      </c>
      <c r="I37" s="225">
        <v>64</v>
      </c>
      <c r="J37" s="225">
        <v>57</v>
      </c>
      <c r="K37" s="225">
        <v>51</v>
      </c>
      <c r="L37" s="225">
        <v>42</v>
      </c>
      <c r="M37" s="225">
        <v>43</v>
      </c>
    </row>
    <row r="38" spans="1:13">
      <c r="A38" s="223" t="s">
        <v>98</v>
      </c>
      <c r="B38" s="225">
        <v>174</v>
      </c>
      <c r="C38" s="225">
        <v>89</v>
      </c>
      <c r="D38" s="225">
        <v>77</v>
      </c>
      <c r="E38" s="225">
        <v>93</v>
      </c>
      <c r="F38" s="225">
        <v>100</v>
      </c>
      <c r="G38" s="225">
        <v>57</v>
      </c>
      <c r="H38" s="225">
        <v>72</v>
      </c>
      <c r="I38" s="225">
        <v>86</v>
      </c>
      <c r="J38" s="225">
        <v>85</v>
      </c>
      <c r="K38" s="225">
        <v>90</v>
      </c>
      <c r="L38" s="225">
        <v>90</v>
      </c>
      <c r="M38" s="225">
        <v>172</v>
      </c>
    </row>
    <row r="39" spans="1:13">
      <c r="A39" s="224" t="s">
        <v>121</v>
      </c>
      <c r="B39" s="225">
        <v>30</v>
      </c>
      <c r="C39" s="225">
        <v>29</v>
      </c>
      <c r="D39" s="225">
        <v>26</v>
      </c>
      <c r="E39" s="225">
        <v>23</v>
      </c>
      <c r="F39" s="225">
        <v>15</v>
      </c>
      <c r="G39" s="225">
        <v>6</v>
      </c>
      <c r="H39" s="225">
        <v>8</v>
      </c>
      <c r="I39" s="225">
        <v>7</v>
      </c>
      <c r="J39" s="225">
        <v>5</v>
      </c>
      <c r="K39" s="225">
        <v>9</v>
      </c>
      <c r="L39" s="225">
        <v>18</v>
      </c>
      <c r="M39" s="225">
        <v>39</v>
      </c>
    </row>
    <row r="40" spans="1:13">
      <c r="A40" s="224" t="s">
        <v>122</v>
      </c>
      <c r="B40" s="225">
        <v>144</v>
      </c>
      <c r="C40" s="225">
        <v>60</v>
      </c>
      <c r="D40" s="225">
        <v>51</v>
      </c>
      <c r="E40" s="225">
        <v>70</v>
      </c>
      <c r="F40" s="225">
        <v>84</v>
      </c>
      <c r="G40" s="225">
        <v>50</v>
      </c>
      <c r="H40" s="225">
        <v>63</v>
      </c>
      <c r="I40" s="225">
        <v>79</v>
      </c>
      <c r="J40" s="225">
        <v>79</v>
      </c>
      <c r="K40" s="225">
        <v>81</v>
      </c>
      <c r="L40" s="225">
        <v>71</v>
      </c>
      <c r="M40" s="225">
        <v>133</v>
      </c>
    </row>
    <row r="41" spans="1:13">
      <c r="A41" s="224" t="s">
        <v>88</v>
      </c>
      <c r="B41" s="225">
        <v>0</v>
      </c>
      <c r="C41" s="225">
        <v>0</v>
      </c>
      <c r="D41" s="225">
        <v>0</v>
      </c>
      <c r="E41" s="225">
        <v>0</v>
      </c>
      <c r="F41" s="225">
        <v>1</v>
      </c>
      <c r="G41" s="225">
        <v>1</v>
      </c>
      <c r="H41" s="225">
        <v>1</v>
      </c>
      <c r="I41" s="225">
        <v>0</v>
      </c>
      <c r="J41" s="225">
        <v>1</v>
      </c>
      <c r="K41" s="225">
        <v>0</v>
      </c>
      <c r="L41" s="225">
        <v>1</v>
      </c>
      <c r="M41" s="225">
        <v>0</v>
      </c>
    </row>
    <row r="42" spans="1:13">
      <c r="A42" s="223" t="s">
        <v>88</v>
      </c>
      <c r="B42" s="225">
        <v>21</v>
      </c>
      <c r="C42" s="225">
        <v>29</v>
      </c>
      <c r="D42" s="225">
        <v>18</v>
      </c>
      <c r="E42" s="225">
        <v>35</v>
      </c>
      <c r="F42" s="225">
        <v>24</v>
      </c>
      <c r="G42" s="225">
        <v>30</v>
      </c>
      <c r="H42" s="225">
        <v>40</v>
      </c>
      <c r="I42" s="225">
        <v>28</v>
      </c>
      <c r="J42" s="225">
        <v>23</v>
      </c>
      <c r="K42" s="225">
        <v>29</v>
      </c>
      <c r="L42" s="225">
        <v>35</v>
      </c>
      <c r="M42" s="225">
        <v>17</v>
      </c>
    </row>
    <row r="43" spans="1:13">
      <c r="A43" s="224" t="s">
        <v>89</v>
      </c>
      <c r="B43" s="225">
        <v>0</v>
      </c>
      <c r="C43" s="225">
        <v>0</v>
      </c>
      <c r="D43" s="225">
        <v>0</v>
      </c>
      <c r="E43" s="225">
        <v>1</v>
      </c>
      <c r="F43" s="225">
        <v>1</v>
      </c>
      <c r="G43" s="225">
        <v>0</v>
      </c>
      <c r="H43" s="225">
        <v>0</v>
      </c>
      <c r="I43" s="225">
        <v>0</v>
      </c>
      <c r="J43" s="225">
        <v>2</v>
      </c>
      <c r="K43" s="225">
        <v>0</v>
      </c>
      <c r="L43" s="225">
        <v>0</v>
      </c>
      <c r="M43" s="225">
        <v>0</v>
      </c>
    </row>
    <row r="44" spans="1:13">
      <c r="A44" s="224" t="s">
        <v>123</v>
      </c>
      <c r="B44" s="225">
        <v>21</v>
      </c>
      <c r="C44" s="225">
        <v>29</v>
      </c>
      <c r="D44" s="225">
        <v>18</v>
      </c>
      <c r="E44" s="225">
        <v>34</v>
      </c>
      <c r="F44" s="225">
        <v>23</v>
      </c>
      <c r="G44" s="225">
        <v>30</v>
      </c>
      <c r="H44" s="225">
        <v>40</v>
      </c>
      <c r="I44" s="225">
        <v>28</v>
      </c>
      <c r="J44" s="225">
        <v>21</v>
      </c>
      <c r="K44" s="225">
        <v>29</v>
      </c>
      <c r="L44" s="225">
        <v>35</v>
      </c>
      <c r="M44" s="225">
        <v>17</v>
      </c>
    </row>
    <row r="45" spans="1:13">
      <c r="A45" s="223" t="s">
        <v>31</v>
      </c>
      <c r="B45" s="225">
        <v>154</v>
      </c>
      <c r="C45" s="225">
        <v>170</v>
      </c>
      <c r="D45" s="225">
        <v>113</v>
      </c>
      <c r="E45" s="225">
        <v>151</v>
      </c>
      <c r="F45" s="225">
        <v>168</v>
      </c>
      <c r="G45" s="225">
        <v>172</v>
      </c>
      <c r="H45" s="225">
        <v>269</v>
      </c>
      <c r="I45" s="225">
        <v>273</v>
      </c>
      <c r="J45" s="225">
        <v>197</v>
      </c>
      <c r="K45" s="225">
        <v>183</v>
      </c>
      <c r="L45" s="225">
        <v>144</v>
      </c>
      <c r="M45" s="225">
        <v>137</v>
      </c>
    </row>
    <row r="46" spans="1:13">
      <c r="A46" s="224" t="s">
        <v>32</v>
      </c>
      <c r="B46" s="225">
        <v>12</v>
      </c>
      <c r="C46" s="225">
        <v>13</v>
      </c>
      <c r="D46" s="225">
        <v>8</v>
      </c>
      <c r="E46" s="225">
        <v>6</v>
      </c>
      <c r="F46" s="225">
        <v>8</v>
      </c>
      <c r="G46" s="225">
        <v>12</v>
      </c>
      <c r="H46" s="225">
        <v>6</v>
      </c>
      <c r="I46" s="225">
        <v>4</v>
      </c>
      <c r="J46" s="225">
        <v>7</v>
      </c>
      <c r="K46" s="225">
        <v>4</v>
      </c>
      <c r="L46" s="225">
        <v>8</v>
      </c>
      <c r="M46" s="225">
        <v>8</v>
      </c>
    </row>
    <row r="47" spans="1:13">
      <c r="A47" s="224" t="s">
        <v>34</v>
      </c>
      <c r="B47" s="225">
        <v>32</v>
      </c>
      <c r="C47" s="225">
        <v>30</v>
      </c>
      <c r="D47" s="225">
        <v>27</v>
      </c>
      <c r="E47" s="225">
        <v>20</v>
      </c>
      <c r="F47" s="225">
        <v>48</v>
      </c>
      <c r="G47" s="225">
        <v>36</v>
      </c>
      <c r="H47" s="225">
        <v>59</v>
      </c>
      <c r="I47" s="225">
        <v>68</v>
      </c>
      <c r="J47" s="225">
        <v>57</v>
      </c>
      <c r="K47" s="225">
        <v>57</v>
      </c>
      <c r="L47" s="225">
        <v>41</v>
      </c>
      <c r="M47" s="225">
        <v>32</v>
      </c>
    </row>
    <row r="48" spans="1:13">
      <c r="A48" s="224" t="s">
        <v>36</v>
      </c>
      <c r="B48" s="225">
        <v>11</v>
      </c>
      <c r="C48" s="225">
        <v>17</v>
      </c>
      <c r="D48" s="225">
        <v>7</v>
      </c>
      <c r="E48" s="225">
        <v>10</v>
      </c>
      <c r="F48" s="225">
        <v>9</v>
      </c>
      <c r="G48" s="225">
        <v>17</v>
      </c>
      <c r="H48" s="225">
        <v>35</v>
      </c>
      <c r="I48" s="225">
        <v>25</v>
      </c>
      <c r="J48" s="225">
        <v>19</v>
      </c>
      <c r="K48" s="225">
        <v>8</v>
      </c>
      <c r="L48" s="225">
        <v>7</v>
      </c>
      <c r="M48" s="225">
        <v>5</v>
      </c>
    </row>
    <row r="49" spans="1:13">
      <c r="A49" s="224" t="s">
        <v>37</v>
      </c>
      <c r="B49" s="225">
        <v>1</v>
      </c>
      <c r="C49" s="225">
        <v>0</v>
      </c>
      <c r="D49" s="225">
        <v>2</v>
      </c>
      <c r="E49" s="225">
        <v>1</v>
      </c>
      <c r="F49" s="225">
        <v>8</v>
      </c>
      <c r="G49" s="225">
        <v>21</v>
      </c>
      <c r="H49" s="225">
        <v>60</v>
      </c>
      <c r="I49" s="225">
        <v>19</v>
      </c>
      <c r="J49" s="225">
        <v>3</v>
      </c>
      <c r="K49" s="225">
        <v>0</v>
      </c>
      <c r="L49" s="225">
        <v>1</v>
      </c>
      <c r="M49" s="225">
        <v>1</v>
      </c>
    </row>
    <row r="50" spans="1:13">
      <c r="A50" s="224" t="s">
        <v>38</v>
      </c>
      <c r="B50" s="225">
        <v>1</v>
      </c>
      <c r="C50" s="225">
        <v>0</v>
      </c>
      <c r="D50" s="225">
        <v>0</v>
      </c>
      <c r="E50" s="225">
        <v>13</v>
      </c>
      <c r="F50" s="225">
        <v>7</v>
      </c>
      <c r="G50" s="225">
        <v>0</v>
      </c>
      <c r="H50" s="225">
        <v>0</v>
      </c>
      <c r="I50" s="225">
        <v>0</v>
      </c>
      <c r="J50" s="225">
        <v>0</v>
      </c>
      <c r="K50" s="225">
        <v>0</v>
      </c>
      <c r="L50" s="225">
        <v>1</v>
      </c>
      <c r="M50" s="225">
        <v>2</v>
      </c>
    </row>
    <row r="51" spans="1:13">
      <c r="A51" s="224" t="s">
        <v>39</v>
      </c>
      <c r="B51" s="225">
        <v>30</v>
      </c>
      <c r="C51" s="225">
        <v>28</v>
      </c>
      <c r="D51" s="225">
        <v>15</v>
      </c>
      <c r="E51" s="225">
        <v>25</v>
      </c>
      <c r="F51" s="225">
        <v>24</v>
      </c>
      <c r="G51" s="225">
        <v>27</v>
      </c>
      <c r="H51" s="225">
        <v>30</v>
      </c>
      <c r="I51" s="225">
        <v>32</v>
      </c>
      <c r="J51" s="225">
        <v>36</v>
      </c>
      <c r="K51" s="225">
        <v>34</v>
      </c>
      <c r="L51" s="225">
        <v>25</v>
      </c>
      <c r="M51" s="225">
        <v>25</v>
      </c>
    </row>
    <row r="52" spans="1:13">
      <c r="A52" s="224" t="s">
        <v>40</v>
      </c>
      <c r="B52" s="225">
        <v>4</v>
      </c>
      <c r="C52" s="225">
        <v>4</v>
      </c>
      <c r="D52" s="225">
        <v>4</v>
      </c>
      <c r="E52" s="225">
        <v>3</v>
      </c>
      <c r="F52" s="225">
        <v>1</v>
      </c>
      <c r="G52" s="225">
        <v>1</v>
      </c>
      <c r="H52" s="225">
        <v>2</v>
      </c>
      <c r="I52" s="225">
        <v>1</v>
      </c>
      <c r="J52" s="225">
        <v>2</v>
      </c>
      <c r="K52" s="225">
        <v>4</v>
      </c>
      <c r="L52" s="225">
        <v>3</v>
      </c>
      <c r="M52" s="225">
        <v>1</v>
      </c>
    </row>
    <row r="53" spans="1:13">
      <c r="A53" s="224" t="s">
        <v>41</v>
      </c>
      <c r="B53" s="225">
        <v>2</v>
      </c>
      <c r="C53" s="225">
        <v>1</v>
      </c>
      <c r="D53" s="225">
        <v>1</v>
      </c>
      <c r="E53" s="225">
        <v>4</v>
      </c>
      <c r="F53" s="225">
        <v>1</v>
      </c>
      <c r="G53" s="225">
        <v>8</v>
      </c>
      <c r="H53" s="225">
        <v>9</v>
      </c>
      <c r="I53" s="225">
        <v>1</v>
      </c>
      <c r="J53" s="225">
        <v>2</v>
      </c>
      <c r="K53" s="225">
        <v>2</v>
      </c>
      <c r="L53" s="225">
        <v>2</v>
      </c>
      <c r="M53" s="225">
        <v>1</v>
      </c>
    </row>
    <row r="54" spans="1:13">
      <c r="A54" s="224" t="s">
        <v>43</v>
      </c>
      <c r="B54" s="225">
        <v>0</v>
      </c>
      <c r="C54" s="225">
        <v>4</v>
      </c>
      <c r="D54" s="225">
        <v>2</v>
      </c>
      <c r="E54" s="225">
        <v>2</v>
      </c>
      <c r="F54" s="225">
        <v>1</v>
      </c>
      <c r="G54" s="225">
        <v>2</v>
      </c>
      <c r="H54" s="225">
        <v>1</v>
      </c>
      <c r="I54" s="225">
        <v>2</v>
      </c>
      <c r="J54" s="225">
        <v>0</v>
      </c>
      <c r="K54" s="225">
        <v>0</v>
      </c>
      <c r="L54" s="225">
        <v>0</v>
      </c>
      <c r="M54" s="225">
        <v>0</v>
      </c>
    </row>
    <row r="55" spans="1:13">
      <c r="A55" s="224" t="s">
        <v>44</v>
      </c>
      <c r="B55" s="225">
        <v>43</v>
      </c>
      <c r="C55" s="225">
        <v>45</v>
      </c>
      <c r="D55" s="225">
        <v>30</v>
      </c>
      <c r="E55" s="225">
        <v>47</v>
      </c>
      <c r="F55" s="225">
        <v>44</v>
      </c>
      <c r="G55" s="225">
        <v>29</v>
      </c>
      <c r="H55" s="225">
        <v>44</v>
      </c>
      <c r="I55" s="225">
        <v>94</v>
      </c>
      <c r="J55" s="225">
        <v>44</v>
      </c>
      <c r="K55" s="225">
        <v>48</v>
      </c>
      <c r="L55" s="225">
        <v>40</v>
      </c>
      <c r="M55" s="225">
        <v>45</v>
      </c>
    </row>
    <row r="56" spans="1:13">
      <c r="A56" s="224" t="s">
        <v>45</v>
      </c>
      <c r="B56" s="225">
        <v>9</v>
      </c>
      <c r="C56" s="225">
        <v>10</v>
      </c>
      <c r="D56" s="225">
        <v>9</v>
      </c>
      <c r="E56" s="225">
        <v>6</v>
      </c>
      <c r="F56" s="225">
        <v>3</v>
      </c>
      <c r="G56" s="225">
        <v>8</v>
      </c>
      <c r="H56" s="225">
        <v>10</v>
      </c>
      <c r="I56" s="225">
        <v>11</v>
      </c>
      <c r="J56" s="225">
        <v>17</v>
      </c>
      <c r="K56" s="225">
        <v>14</v>
      </c>
      <c r="L56" s="225">
        <v>9</v>
      </c>
      <c r="M56" s="225">
        <v>7</v>
      </c>
    </row>
    <row r="57" spans="1:13">
      <c r="A57" s="224" t="s">
        <v>46</v>
      </c>
      <c r="B57" s="225">
        <v>0</v>
      </c>
      <c r="C57" s="225">
        <v>0</v>
      </c>
      <c r="D57" s="225">
        <v>0</v>
      </c>
      <c r="E57" s="225">
        <v>1</v>
      </c>
      <c r="F57" s="225">
        <v>0</v>
      </c>
      <c r="G57" s="225">
        <v>0</v>
      </c>
      <c r="H57" s="225">
        <v>0</v>
      </c>
      <c r="I57" s="225">
        <v>0</v>
      </c>
      <c r="J57" s="225">
        <v>0</v>
      </c>
      <c r="K57" s="225">
        <v>0</v>
      </c>
      <c r="L57" s="225">
        <v>0</v>
      </c>
      <c r="M57" s="225">
        <v>0</v>
      </c>
    </row>
    <row r="58" spans="1:13">
      <c r="A58" s="224" t="s">
        <v>47</v>
      </c>
      <c r="B58" s="225">
        <v>1</v>
      </c>
      <c r="C58" s="225">
        <v>4</v>
      </c>
      <c r="D58" s="225">
        <v>1</v>
      </c>
      <c r="E58" s="225">
        <v>3</v>
      </c>
      <c r="F58" s="225">
        <v>4</v>
      </c>
      <c r="G58" s="225">
        <v>1</v>
      </c>
      <c r="H58" s="225">
        <v>2</v>
      </c>
      <c r="I58" s="225">
        <v>1</v>
      </c>
      <c r="J58" s="225">
        <v>1</v>
      </c>
      <c r="K58" s="225">
        <v>1</v>
      </c>
      <c r="L58" s="225">
        <v>1</v>
      </c>
      <c r="M58" s="225">
        <v>2</v>
      </c>
    </row>
    <row r="59" spans="1:13">
      <c r="A59" s="224" t="s">
        <v>48</v>
      </c>
      <c r="B59" s="225">
        <v>2</v>
      </c>
      <c r="C59" s="225">
        <v>2</v>
      </c>
      <c r="D59" s="225">
        <v>2</v>
      </c>
      <c r="E59" s="225">
        <v>2</v>
      </c>
      <c r="F59" s="225">
        <v>1</v>
      </c>
      <c r="G59" s="225">
        <v>7</v>
      </c>
      <c r="H59" s="225">
        <v>5</v>
      </c>
      <c r="I59" s="225">
        <v>6</v>
      </c>
      <c r="J59" s="225">
        <v>2</v>
      </c>
      <c r="K59" s="225">
        <v>3</v>
      </c>
      <c r="L59" s="225">
        <v>4</v>
      </c>
      <c r="M59" s="225">
        <v>5</v>
      </c>
    </row>
    <row r="60" spans="1:13">
      <c r="A60" s="224" t="s">
        <v>49</v>
      </c>
      <c r="B60" s="225">
        <v>6</v>
      </c>
      <c r="C60" s="225">
        <v>12</v>
      </c>
      <c r="D60" s="225">
        <v>5</v>
      </c>
      <c r="E60" s="225">
        <v>8</v>
      </c>
      <c r="F60" s="225">
        <v>9</v>
      </c>
      <c r="G60" s="225">
        <v>3</v>
      </c>
      <c r="H60" s="225">
        <v>6</v>
      </c>
      <c r="I60" s="225">
        <v>9</v>
      </c>
      <c r="J60" s="225">
        <v>7</v>
      </c>
      <c r="K60" s="225">
        <v>8</v>
      </c>
      <c r="L60" s="225">
        <v>2</v>
      </c>
      <c r="M60" s="225">
        <v>3</v>
      </c>
    </row>
    <row r="61" spans="1:13">
      <c r="A61" s="223" t="s">
        <v>67</v>
      </c>
      <c r="B61" s="225">
        <v>99</v>
      </c>
      <c r="C61" s="225">
        <v>112</v>
      </c>
      <c r="D61" s="225">
        <v>98</v>
      </c>
      <c r="E61" s="225">
        <v>105</v>
      </c>
      <c r="F61" s="225">
        <v>114</v>
      </c>
      <c r="G61" s="225">
        <v>73</v>
      </c>
      <c r="H61" s="225">
        <v>85</v>
      </c>
      <c r="I61" s="225">
        <v>70</v>
      </c>
      <c r="J61" s="225">
        <v>83</v>
      </c>
      <c r="K61" s="225">
        <v>86</v>
      </c>
      <c r="L61" s="225">
        <v>60</v>
      </c>
      <c r="M61" s="225">
        <v>78</v>
      </c>
    </row>
    <row r="62" spans="1:13">
      <c r="A62" s="224" t="s">
        <v>71</v>
      </c>
      <c r="B62" s="225">
        <v>32</v>
      </c>
      <c r="C62" s="225">
        <v>40</v>
      </c>
      <c r="D62" s="225">
        <v>37</v>
      </c>
      <c r="E62" s="225">
        <v>33</v>
      </c>
      <c r="F62" s="225">
        <v>34</v>
      </c>
      <c r="G62" s="225">
        <v>16</v>
      </c>
      <c r="H62" s="225">
        <v>14</v>
      </c>
      <c r="I62" s="225">
        <v>14</v>
      </c>
      <c r="J62" s="225">
        <v>16</v>
      </c>
      <c r="K62" s="225">
        <v>16</v>
      </c>
      <c r="L62" s="225">
        <v>15</v>
      </c>
      <c r="M62" s="225">
        <v>25</v>
      </c>
    </row>
    <row r="63" spans="1:13">
      <c r="A63" s="224" t="s">
        <v>72</v>
      </c>
      <c r="B63" s="225">
        <v>0</v>
      </c>
      <c r="C63" s="225">
        <v>1</v>
      </c>
      <c r="D63" s="225">
        <v>0</v>
      </c>
      <c r="E63" s="225">
        <v>1</v>
      </c>
      <c r="F63" s="225">
        <v>1</v>
      </c>
      <c r="G63" s="225">
        <v>0</v>
      </c>
      <c r="H63" s="225">
        <v>0</v>
      </c>
      <c r="I63" s="225">
        <v>0</v>
      </c>
      <c r="J63" s="225">
        <v>0</v>
      </c>
      <c r="K63" s="225">
        <v>0</v>
      </c>
      <c r="L63" s="225">
        <v>0</v>
      </c>
      <c r="M63" s="225">
        <v>0</v>
      </c>
    </row>
    <row r="64" spans="1:13">
      <c r="A64" s="224" t="s">
        <v>68</v>
      </c>
      <c r="B64" s="225">
        <v>2</v>
      </c>
      <c r="C64" s="225">
        <v>2</v>
      </c>
      <c r="D64" s="225">
        <v>1</v>
      </c>
      <c r="E64" s="225">
        <v>2</v>
      </c>
      <c r="F64" s="225">
        <v>6</v>
      </c>
      <c r="G64" s="225">
        <v>6</v>
      </c>
      <c r="H64" s="225">
        <v>11</v>
      </c>
      <c r="I64" s="225">
        <v>12</v>
      </c>
      <c r="J64" s="225">
        <v>9</v>
      </c>
      <c r="K64" s="225">
        <v>3</v>
      </c>
      <c r="L64" s="225">
        <v>6</v>
      </c>
      <c r="M64" s="225">
        <v>4</v>
      </c>
    </row>
    <row r="65" spans="1:13">
      <c r="A65" s="224" t="s">
        <v>70</v>
      </c>
      <c r="B65" s="225">
        <v>0</v>
      </c>
      <c r="C65" s="225">
        <v>1</v>
      </c>
      <c r="D65" s="225">
        <v>3</v>
      </c>
      <c r="E65" s="225">
        <v>5</v>
      </c>
      <c r="F65" s="225">
        <v>4</v>
      </c>
      <c r="G65" s="225">
        <v>1</v>
      </c>
      <c r="H65" s="225">
        <v>0</v>
      </c>
      <c r="I65" s="225">
        <v>0</v>
      </c>
      <c r="J65" s="225">
        <v>0</v>
      </c>
      <c r="K65" s="225">
        <v>1</v>
      </c>
      <c r="L65" s="225">
        <v>1</v>
      </c>
      <c r="M65" s="225">
        <v>1</v>
      </c>
    </row>
    <row r="66" spans="1:13">
      <c r="A66" s="224" t="s">
        <v>73</v>
      </c>
      <c r="B66" s="225">
        <v>28</v>
      </c>
      <c r="C66" s="225">
        <v>39</v>
      </c>
      <c r="D66" s="225">
        <v>29</v>
      </c>
      <c r="E66" s="225">
        <v>30</v>
      </c>
      <c r="F66" s="225">
        <v>21</v>
      </c>
      <c r="G66" s="225">
        <v>8</v>
      </c>
      <c r="H66" s="225">
        <v>17</v>
      </c>
      <c r="I66" s="225">
        <v>12</v>
      </c>
      <c r="J66" s="225">
        <v>18</v>
      </c>
      <c r="K66" s="225">
        <v>28</v>
      </c>
      <c r="L66" s="225">
        <v>13</v>
      </c>
      <c r="M66" s="225">
        <v>30</v>
      </c>
    </row>
    <row r="67" spans="1:13">
      <c r="A67" s="224" t="s">
        <v>74</v>
      </c>
      <c r="B67" s="225">
        <v>12</v>
      </c>
      <c r="C67" s="225">
        <v>2</v>
      </c>
      <c r="D67" s="225">
        <v>1</v>
      </c>
      <c r="E67" s="225">
        <v>3</v>
      </c>
      <c r="F67" s="225">
        <v>3</v>
      </c>
      <c r="G67" s="225">
        <v>3</v>
      </c>
      <c r="H67" s="225">
        <v>7</v>
      </c>
      <c r="I67" s="225">
        <v>2</v>
      </c>
      <c r="J67" s="225">
        <v>3</v>
      </c>
      <c r="K67" s="225">
        <v>1</v>
      </c>
      <c r="L67" s="225">
        <v>0</v>
      </c>
      <c r="M67" s="225">
        <v>1</v>
      </c>
    </row>
    <row r="68" spans="1:13">
      <c r="A68" s="224" t="s">
        <v>125</v>
      </c>
      <c r="B68" s="225">
        <v>25</v>
      </c>
      <c r="C68" s="225">
        <v>27</v>
      </c>
      <c r="D68" s="225">
        <v>27</v>
      </c>
      <c r="E68" s="225">
        <v>31</v>
      </c>
      <c r="F68" s="225">
        <v>45</v>
      </c>
      <c r="G68" s="225">
        <v>39</v>
      </c>
      <c r="H68" s="225">
        <v>36</v>
      </c>
      <c r="I68" s="225">
        <v>30</v>
      </c>
      <c r="J68" s="225">
        <v>37</v>
      </c>
      <c r="K68" s="225">
        <v>37</v>
      </c>
      <c r="L68" s="225">
        <v>25</v>
      </c>
      <c r="M68" s="225">
        <v>17</v>
      </c>
    </row>
    <row r="69" spans="1:13">
      <c r="A69" s="223" t="s">
        <v>108</v>
      </c>
      <c r="B69" s="225">
        <v>6850</v>
      </c>
      <c r="C69" s="225">
        <v>4006</v>
      </c>
      <c r="D69" s="225">
        <v>3321</v>
      </c>
      <c r="E69" s="225">
        <v>3340</v>
      </c>
      <c r="F69" s="225">
        <v>3765</v>
      </c>
      <c r="G69" s="225">
        <v>2417</v>
      </c>
      <c r="H69" s="225">
        <v>2805</v>
      </c>
      <c r="I69" s="225">
        <v>2728</v>
      </c>
      <c r="J69" s="225">
        <v>2619</v>
      </c>
      <c r="K69" s="225">
        <v>2799</v>
      </c>
      <c r="L69" s="225">
        <v>2461</v>
      </c>
      <c r="M69" s="225">
        <v>2838</v>
      </c>
    </row>
  </sheetData>
  <pageMargins left="0.7" right="0.7" top="0.75" bottom="0.75" header="0.3" footer="0.3"/>
  <drawing r:id="rId2"/>
</worksheet>
</file>

<file path=docMetadata/LabelInfo.xml><?xml version="1.0" encoding="utf-8"?>
<clbl:labelList xmlns:clbl="http://schemas.microsoft.com/office/2020/mipLabelMetadata">
  <clbl:label id="{78aac226-2f03-4b4d-9037-b46d56c55210}" enabled="0" method="" siteId="{78aac226-2f03-4b4d-9037-b46d56c5521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ID_data_original</vt:lpstr>
      <vt:lpstr>ID_data</vt:lpstr>
      <vt:lpstr>Visualization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Bojagora</dc:creator>
  <cp:lastModifiedBy>Anna Bojagora</cp:lastModifiedBy>
  <dcterms:created xsi:type="dcterms:W3CDTF">2025-05-11T22:21:10Z</dcterms:created>
  <dcterms:modified xsi:type="dcterms:W3CDTF">2025-05-13T15:18:51Z</dcterms:modified>
</cp:coreProperties>
</file>